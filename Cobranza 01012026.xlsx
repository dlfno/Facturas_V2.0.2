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0a9f7570654499/Respaldo/Administracion/"/>
    </mc:Choice>
  </mc:AlternateContent>
  <xr:revisionPtr revIDLastSave="739" documentId="13_ncr:1_{C3498B7A-AEA6-4672-BF87-F519E3C6DD59}" xr6:coauthVersionLast="47" xr6:coauthVersionMax="47" xr10:uidLastSave="{048F9F96-F0E6-4F2F-9D4A-12CFA86A89BF}"/>
  <bookViews>
    <workbookView xWindow="-60" yWindow="-60" windowWidth="19320" windowHeight="11400" xr2:uid="{84B91375-480C-4F69-989A-93A46139A09B}"/>
  </bookViews>
  <sheets>
    <sheet name="2026" sheetId="1" r:id="rId1"/>
    <sheet name="2026 (SMGS)" sheetId="2" r:id="rId2"/>
    <sheet name="Cierre 2025 (2)" sheetId="3" r:id="rId3"/>
  </sheets>
  <definedNames>
    <definedName name="_xlnm._FilterDatabase" localSheetId="0" hidden="1">'2026'!$A$2:$AD$128</definedName>
    <definedName name="_xlnm._FilterDatabase" localSheetId="1" hidden="1">'2026 (SMGS)'!$A$1:$AA$15</definedName>
    <definedName name="_xlnm._FilterDatabase" localSheetId="2" hidden="1">'Cierre 2025 (2)'!$A$2:$XEY$56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E32" i="3" s="1"/>
  <c r="D29" i="3"/>
  <c r="E29" i="3" s="1"/>
  <c r="C18" i="3" l="1"/>
  <c r="C58" i="3" s="1"/>
  <c r="D5" i="3"/>
  <c r="E5" i="3" s="1"/>
  <c r="D3" i="3"/>
  <c r="E3" i="3" s="1"/>
  <c r="D4" i="3"/>
  <c r="E4" i="3" s="1"/>
  <c r="D6" i="3"/>
  <c r="E6" i="3" s="1"/>
  <c r="D7" i="3"/>
  <c r="E7" i="3" s="1"/>
  <c r="D8" i="3"/>
  <c r="E8" i="3" s="1"/>
  <c r="D9" i="3"/>
  <c r="E9" i="3" s="1"/>
  <c r="D10" i="3"/>
  <c r="E10" i="3" s="1"/>
  <c r="P11" i="2"/>
  <c r="P5" i="2" l="1"/>
  <c r="B2" i="1"/>
  <c r="D87" i="1"/>
  <c r="F87" i="1" s="1"/>
  <c r="H86" i="1"/>
  <c r="I86" i="1" s="1"/>
  <c r="H85" i="1"/>
  <c r="I85" i="1" s="1"/>
  <c r="R122" i="1"/>
  <c r="D122" i="1"/>
  <c r="F122" i="1" s="1"/>
  <c r="R121" i="1"/>
  <c r="D121" i="1"/>
  <c r="F121" i="1" s="1"/>
  <c r="R120" i="1"/>
  <c r="D120" i="1"/>
  <c r="F120" i="1" s="1"/>
  <c r="R119" i="1"/>
  <c r="D119" i="1"/>
  <c r="F119" i="1" s="1"/>
  <c r="D118" i="1"/>
  <c r="F118" i="1" s="1"/>
  <c r="R117" i="1"/>
  <c r="D117" i="1"/>
  <c r="F117" i="1" s="1"/>
  <c r="R116" i="1"/>
  <c r="D116" i="1"/>
  <c r="F116" i="1" s="1"/>
  <c r="R115" i="1"/>
  <c r="D115" i="1"/>
  <c r="F115" i="1" s="1"/>
  <c r="D114" i="1"/>
  <c r="F114" i="1" s="1"/>
  <c r="R113" i="1"/>
  <c r="D113" i="1"/>
  <c r="F113" i="1" s="1"/>
  <c r="R112" i="1"/>
  <c r="D112" i="1"/>
  <c r="F112" i="1" s="1"/>
  <c r="R109" i="1"/>
  <c r="D109" i="1"/>
  <c r="F109" i="1" s="1"/>
  <c r="R108" i="1"/>
  <c r="D108" i="1"/>
  <c r="F108" i="1" s="1"/>
  <c r="D107" i="1"/>
  <c r="F107" i="1" s="1"/>
  <c r="R106" i="1"/>
  <c r="D106" i="1"/>
  <c r="F106" i="1" s="1"/>
  <c r="D105" i="1"/>
  <c r="F105" i="1" s="1"/>
  <c r="R104" i="1"/>
  <c r="D104" i="1"/>
  <c r="F104" i="1" s="1"/>
  <c r="R103" i="1"/>
  <c r="D103" i="1"/>
  <c r="F103" i="1" s="1"/>
  <c r="R102" i="1"/>
  <c r="D102" i="1"/>
  <c r="F102" i="1" s="1"/>
  <c r="D101" i="1"/>
  <c r="F101" i="1" s="1"/>
  <c r="R99" i="1"/>
  <c r="D99" i="1"/>
  <c r="F99" i="1" s="1"/>
  <c r="R98" i="1"/>
  <c r="D98" i="1"/>
  <c r="F98" i="1" s="1"/>
  <c r="R97" i="1"/>
  <c r="F97" i="1"/>
  <c r="H83" i="1"/>
  <c r="I83" i="1" s="1"/>
  <c r="D94" i="1"/>
  <c r="F94" i="1" s="1"/>
  <c r="R93" i="1"/>
  <c r="D93" i="1"/>
  <c r="F93" i="1" s="1"/>
  <c r="R92" i="1"/>
  <c r="D92" i="1"/>
  <c r="F92" i="1" s="1"/>
  <c r="D91" i="1"/>
  <c r="F91" i="1" s="1"/>
  <c r="R90" i="1"/>
  <c r="D90" i="1"/>
  <c r="F90" i="1" s="1"/>
  <c r="D89" i="1"/>
  <c r="F89" i="1" s="1"/>
  <c r="D88" i="1"/>
  <c r="F88" i="1" s="1"/>
  <c r="D83" i="1"/>
  <c r="F83" i="1" s="1"/>
  <c r="R82" i="1"/>
  <c r="D82" i="1"/>
  <c r="F82" i="1" s="1"/>
  <c r="D81" i="1"/>
  <c r="F81" i="1" s="1"/>
  <c r="R80" i="1"/>
  <c r="D80" i="1"/>
  <c r="F80" i="1" s="1"/>
  <c r="D79" i="1"/>
  <c r="F79" i="1" s="1"/>
  <c r="D78" i="1"/>
  <c r="F78" i="1" s="1"/>
  <c r="D77" i="1"/>
  <c r="F77" i="1" s="1"/>
  <c r="D76" i="1"/>
  <c r="F76" i="1" s="1"/>
  <c r="D75" i="1"/>
  <c r="F75" i="1" s="1"/>
  <c r="I8" i="2"/>
  <c r="D74" i="1"/>
  <c r="F74" i="1" s="1"/>
  <c r="R73" i="1"/>
  <c r="D73" i="1"/>
  <c r="F73" i="1" s="1"/>
  <c r="R72" i="1"/>
  <c r="D72" i="1"/>
  <c r="F72" i="1" s="1"/>
  <c r="R71" i="1"/>
  <c r="D71" i="1"/>
  <c r="F71" i="1" s="1"/>
  <c r="R70" i="1"/>
  <c r="D70" i="1"/>
  <c r="F70" i="1" s="1"/>
  <c r="D69" i="1"/>
  <c r="F69" i="1" s="1"/>
  <c r="R68" i="1"/>
  <c r="D67" i="1"/>
  <c r="F67" i="1" s="1"/>
  <c r="D66" i="1"/>
  <c r="F66" i="1" s="1"/>
  <c r="F3" i="3"/>
  <c r="F49" i="3"/>
  <c r="D11" i="3"/>
  <c r="E11" i="3" s="1"/>
  <c r="E51" i="3"/>
  <c r="F50" i="3"/>
  <c r="E50" i="3"/>
  <c r="D48" i="3"/>
  <c r="E48" i="3" s="1"/>
  <c r="F47" i="3"/>
  <c r="D47" i="3"/>
  <c r="E47" i="3" s="1"/>
  <c r="D46" i="3"/>
  <c r="E46" i="3" s="1"/>
  <c r="D45" i="3"/>
  <c r="E45" i="3" s="1"/>
  <c r="F44" i="3"/>
  <c r="D44" i="3"/>
  <c r="E44" i="3" s="1"/>
  <c r="F43" i="3"/>
  <c r="D43" i="3"/>
  <c r="E43" i="3" s="1"/>
  <c r="F42" i="3"/>
  <c r="D42" i="3"/>
  <c r="E42" i="3" s="1"/>
  <c r="F41" i="3"/>
  <c r="D41" i="3"/>
  <c r="E41" i="3" s="1"/>
  <c r="F40" i="3"/>
  <c r="D40" i="3"/>
  <c r="E40" i="3" s="1"/>
  <c r="F39" i="3"/>
  <c r="D39" i="3"/>
  <c r="E39" i="3" s="1"/>
  <c r="D38" i="3"/>
  <c r="E38" i="3" s="1"/>
  <c r="D37" i="3"/>
  <c r="E37" i="3" s="1"/>
  <c r="F36" i="3"/>
  <c r="D36" i="3"/>
  <c r="E36" i="3" s="1"/>
  <c r="D35" i="3"/>
  <c r="E35" i="3" s="1"/>
  <c r="D34" i="3"/>
  <c r="E34" i="3" s="1"/>
  <c r="F33" i="3"/>
  <c r="D33" i="3"/>
  <c r="E33" i="3" s="1"/>
  <c r="D31" i="3"/>
  <c r="E31" i="3" s="1"/>
  <c r="F30" i="3"/>
  <c r="D30" i="3"/>
  <c r="E30" i="3" s="1"/>
  <c r="F29" i="3"/>
  <c r="F28" i="3"/>
  <c r="D28" i="3"/>
  <c r="E28" i="3" s="1"/>
  <c r="D27" i="3"/>
  <c r="E27" i="3" s="1"/>
  <c r="D26" i="3"/>
  <c r="D25" i="3"/>
  <c r="E25" i="3" s="1"/>
  <c r="D24" i="3"/>
  <c r="E24" i="3" s="1"/>
  <c r="F23" i="3"/>
  <c r="D23" i="3"/>
  <c r="E23" i="3" s="1"/>
  <c r="D22" i="3"/>
  <c r="E22" i="3" s="1"/>
  <c r="F21" i="3"/>
  <c r="D21" i="3"/>
  <c r="E21" i="3" s="1"/>
  <c r="D19" i="3"/>
  <c r="D18" i="3"/>
  <c r="D17" i="3"/>
  <c r="E17" i="3" s="1"/>
  <c r="D16" i="3"/>
  <c r="E16" i="3" s="1"/>
  <c r="D15" i="3"/>
  <c r="E15" i="3" s="1"/>
  <c r="D14" i="3"/>
  <c r="E14" i="3" s="1"/>
  <c r="D13" i="3"/>
  <c r="E13" i="3" s="1"/>
  <c r="F12" i="3"/>
  <c r="D12" i="3"/>
  <c r="E12" i="3" s="1"/>
  <c r="F9" i="3"/>
  <c r="F26" i="3" l="1"/>
  <c r="E26" i="3"/>
  <c r="E18" i="3"/>
  <c r="F18" i="3"/>
  <c r="E19" i="3"/>
  <c r="D54" i="3"/>
  <c r="E54" i="3" s="1"/>
  <c r="D52" i="3"/>
  <c r="E52" i="3" s="1"/>
  <c r="D20" i="3"/>
  <c r="E20" i="3" s="1"/>
  <c r="F52" i="3"/>
  <c r="D55" i="3"/>
  <c r="E55" i="3" s="1"/>
  <c r="D53" i="3"/>
  <c r="E53" i="3" s="1"/>
  <c r="D63" i="1" l="1"/>
  <c r="F63" i="1" s="1"/>
  <c r="R62" i="1"/>
  <c r="D62" i="1"/>
  <c r="F62" i="1" s="1"/>
  <c r="R60" i="1"/>
  <c r="D60" i="1"/>
  <c r="F60" i="1" s="1"/>
  <c r="D59" i="1"/>
  <c r="F59" i="1" s="1"/>
  <c r="D58" i="1"/>
  <c r="F58" i="1" s="1"/>
  <c r="R57" i="1"/>
  <c r="D57" i="1"/>
  <c r="F57" i="1" s="1"/>
  <c r="R56" i="1"/>
  <c r="D56" i="1"/>
  <c r="F56" i="1" s="1"/>
  <c r="R55" i="1"/>
  <c r="R54" i="1"/>
  <c r="D53" i="1"/>
  <c r="F53" i="1" s="1"/>
  <c r="D52" i="1"/>
  <c r="F52" i="1" s="1"/>
  <c r="D51" i="1"/>
  <c r="F51" i="1" s="1"/>
  <c r="D50" i="1"/>
  <c r="F50" i="1" s="1"/>
  <c r="D49" i="1"/>
  <c r="F49" i="1" s="1"/>
  <c r="D48" i="1"/>
  <c r="F48" i="1" s="1"/>
  <c r="D47" i="1"/>
  <c r="F47" i="1" s="1"/>
  <c r="R46" i="1"/>
  <c r="D46" i="1"/>
  <c r="F46" i="1" s="1"/>
  <c r="D45" i="1"/>
  <c r="F45" i="1" s="1"/>
  <c r="F44" i="1"/>
  <c r="H39" i="1" l="1"/>
  <c r="I39" i="1" s="1"/>
  <c r="H30" i="1"/>
  <c r="I30" i="1" s="1"/>
  <c r="R125" i="1" l="1"/>
  <c r="D125" i="1"/>
  <c r="F125" i="1" s="1"/>
  <c r="R123" i="1"/>
  <c r="D123" i="1"/>
  <c r="F123" i="1" s="1"/>
  <c r="D96" i="1"/>
  <c r="F96" i="1" s="1"/>
  <c r="D95" i="1"/>
  <c r="F95" i="1" s="1"/>
  <c r="D64" i="1"/>
  <c r="F64" i="1" s="1"/>
  <c r="D43" i="1"/>
  <c r="F43" i="1" s="1"/>
  <c r="D41" i="1"/>
  <c r="F41" i="1" s="1"/>
  <c r="D40" i="1"/>
  <c r="F40" i="1" s="1"/>
  <c r="D39" i="1"/>
  <c r="F39" i="1" s="1"/>
  <c r="D38" i="1"/>
  <c r="F38" i="1" s="1"/>
  <c r="D37" i="1"/>
  <c r="F37" i="1" s="1"/>
  <c r="R14" i="2"/>
  <c r="D14" i="2"/>
  <c r="F14" i="2" s="1"/>
  <c r="R13" i="2"/>
  <c r="D13" i="2"/>
  <c r="F13" i="2" s="1"/>
  <c r="R12" i="2"/>
  <c r="D12" i="2"/>
  <c r="F12" i="2" s="1"/>
  <c r="R11" i="2"/>
  <c r="D11" i="2"/>
  <c r="F11" i="2" s="1"/>
  <c r="D10" i="2"/>
  <c r="F10" i="2" s="1"/>
  <c r="R9" i="2"/>
  <c r="D9" i="2"/>
  <c r="F9" i="2" s="1"/>
  <c r="D8" i="2"/>
  <c r="F8" i="2" s="1"/>
  <c r="D7" i="2"/>
  <c r="F7" i="2" s="1"/>
  <c r="R6" i="2"/>
  <c r="D6" i="2"/>
  <c r="F6" i="2" s="1"/>
  <c r="H15" i="1" l="1"/>
  <c r="I15" i="1" s="1"/>
  <c r="N141" i="1" l="1"/>
  <c r="L32" i="2"/>
  <c r="D26" i="2"/>
  <c r="F26" i="2" s="1"/>
  <c r="D25" i="2"/>
  <c r="F25" i="2" s="1"/>
  <c r="D24" i="2"/>
  <c r="F24" i="2" s="1"/>
  <c r="D23" i="2"/>
  <c r="F23" i="2" s="1"/>
  <c r="D22" i="2"/>
  <c r="F22" i="2" s="1"/>
  <c r="D21" i="2"/>
  <c r="F21" i="2" s="1"/>
  <c r="D20" i="2"/>
  <c r="F20" i="2" s="1"/>
  <c r="D19" i="2"/>
  <c r="F19" i="2" s="1"/>
  <c r="E17" i="2"/>
  <c r="E18" i="2" s="1"/>
  <c r="D16" i="2"/>
  <c r="F16" i="2" s="1"/>
  <c r="R15" i="2"/>
  <c r="D15" i="2"/>
  <c r="F15" i="2" s="1"/>
  <c r="D5" i="2"/>
  <c r="F5" i="2" s="1"/>
  <c r="D4" i="2"/>
  <c r="F4" i="2" s="1"/>
  <c r="R3" i="2"/>
  <c r="D3" i="2"/>
  <c r="F3" i="2" s="1"/>
  <c r="B2" i="2"/>
  <c r="T1" i="2"/>
  <c r="C127" i="1"/>
  <c r="D137" i="1"/>
  <c r="F137" i="1" s="1"/>
  <c r="D136" i="1"/>
  <c r="F136" i="1" s="1"/>
  <c r="C135" i="1"/>
  <c r="D135" i="1" s="1"/>
  <c r="G127" i="1"/>
  <c r="E127" i="1"/>
  <c r="R124" i="1"/>
  <c r="D124" i="1"/>
  <c r="F124" i="1" s="1"/>
  <c r="D36" i="1"/>
  <c r="F36" i="1" s="1"/>
  <c r="D35" i="1"/>
  <c r="F35" i="1" s="1"/>
  <c r="D34" i="1"/>
  <c r="F34" i="1" s="1"/>
  <c r="R33" i="1"/>
  <c r="D33" i="1"/>
  <c r="F33" i="1" s="1"/>
  <c r="R32" i="1"/>
  <c r="D32" i="1"/>
  <c r="F32" i="1" s="1"/>
  <c r="D30" i="1"/>
  <c r="F30" i="1" s="1"/>
  <c r="R29" i="1"/>
  <c r="D29" i="1"/>
  <c r="F29" i="1" s="1"/>
  <c r="R28" i="1"/>
  <c r="D28" i="1"/>
  <c r="F28" i="1" s="1"/>
  <c r="D27" i="1"/>
  <c r="F27" i="1" s="1"/>
  <c r="R26" i="1"/>
  <c r="D26" i="1"/>
  <c r="F26" i="1" s="1"/>
  <c r="D25" i="1"/>
  <c r="F25" i="1" s="1"/>
  <c r="D23" i="1"/>
  <c r="F23" i="1" s="1"/>
  <c r="R22" i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4" i="1"/>
  <c r="F14" i="1" s="1"/>
  <c r="F13" i="1"/>
  <c r="D11" i="1"/>
  <c r="F11" i="1" s="1"/>
  <c r="R10" i="1"/>
  <c r="D10" i="1"/>
  <c r="F10" i="1" s="1"/>
  <c r="R9" i="1"/>
  <c r="D9" i="1"/>
  <c r="F9" i="1" s="1"/>
  <c r="D8" i="1"/>
  <c r="F8" i="1" s="1"/>
  <c r="D7" i="1"/>
  <c r="F7" i="1" s="1"/>
  <c r="D6" i="1"/>
  <c r="F6" i="1" s="1"/>
  <c r="D5" i="1"/>
  <c r="F5" i="1" s="1"/>
  <c r="H4" i="1"/>
  <c r="I4" i="1" s="1"/>
  <c r="D4" i="1"/>
  <c r="F4" i="1" s="1"/>
  <c r="D3" i="1"/>
  <c r="F3" i="1" s="1"/>
  <c r="T1" i="1"/>
  <c r="Q121" i="1" l="1"/>
  <c r="Q120" i="1"/>
  <c r="Q119" i="1"/>
  <c r="Q118" i="1"/>
  <c r="Q117" i="1"/>
  <c r="Q116" i="1"/>
  <c r="Q115" i="1"/>
  <c r="Q113" i="1"/>
  <c r="Q97" i="1"/>
  <c r="Q99" i="1"/>
  <c r="Q107" i="1"/>
  <c r="Q108" i="1"/>
  <c r="Q101" i="1"/>
  <c r="Q109" i="1"/>
  <c r="Q102" i="1"/>
  <c r="Q103" i="1"/>
  <c r="Q104" i="1"/>
  <c r="Q112" i="1"/>
  <c r="Q105" i="1"/>
  <c r="Q98" i="1"/>
  <c r="Q106" i="1"/>
  <c r="Q122" i="1"/>
  <c r="Q93" i="1"/>
  <c r="Q92" i="1"/>
  <c r="Q91" i="1"/>
  <c r="Q90" i="1"/>
  <c r="Q89" i="1"/>
  <c r="Q88" i="1"/>
  <c r="Q87" i="1"/>
  <c r="Q86" i="1"/>
  <c r="Q85" i="1"/>
  <c r="Q83" i="1"/>
  <c r="Q82" i="1"/>
  <c r="Q81" i="1"/>
  <c r="Q80" i="1"/>
  <c r="Q79" i="1"/>
  <c r="Q78" i="1"/>
  <c r="Q77" i="1"/>
  <c r="Q76" i="1"/>
  <c r="Q75" i="1"/>
  <c r="Q94" i="1"/>
  <c r="Q73" i="1"/>
  <c r="Q71" i="1"/>
  <c r="Q70" i="1"/>
  <c r="Q69" i="1"/>
  <c r="Q68" i="1"/>
  <c r="Q67" i="1"/>
  <c r="Q66" i="1"/>
  <c r="Q72" i="1"/>
  <c r="Q74" i="1"/>
  <c r="Q46" i="1"/>
  <c r="Q48" i="1"/>
  <c r="Q60" i="1"/>
  <c r="Q53" i="1"/>
  <c r="Q50" i="1"/>
  <c r="Q52" i="1"/>
  <c r="Q47" i="1"/>
  <c r="Q55" i="1"/>
  <c r="Q54" i="1"/>
  <c r="Q56" i="1"/>
  <c r="Q49" i="1"/>
  <c r="Q57" i="1"/>
  <c r="Q62" i="1"/>
  <c r="Q51" i="1"/>
  <c r="Q63" i="1"/>
  <c r="Q58" i="1"/>
  <c r="Q59" i="1"/>
  <c r="Q44" i="1"/>
  <c r="Q45" i="1"/>
  <c r="Q37" i="1"/>
  <c r="Q95" i="1"/>
  <c r="Q39" i="1"/>
  <c r="Q123" i="1"/>
  <c r="Q64" i="1"/>
  <c r="Q41" i="1"/>
  <c r="Q38" i="1"/>
  <c r="Q96" i="1"/>
  <c r="Q43" i="1"/>
  <c r="Q125" i="1"/>
  <c r="Q23" i="2"/>
  <c r="Q7" i="2"/>
  <c r="Q6" i="2"/>
  <c r="Q14" i="2"/>
  <c r="Q9" i="2"/>
  <c r="Q12" i="2"/>
  <c r="Q11" i="2"/>
  <c r="Q10" i="2"/>
  <c r="Q13" i="2"/>
  <c r="Q5" i="2"/>
  <c r="D17" i="2"/>
  <c r="D18" i="2" s="1"/>
  <c r="Q15" i="2"/>
  <c r="C17" i="2"/>
  <c r="C18" i="2" s="1"/>
  <c r="Q19" i="2"/>
  <c r="Q3" i="2"/>
  <c r="Q4" i="2"/>
  <c r="Q24" i="2"/>
  <c r="Q25" i="2"/>
  <c r="Q16" i="2"/>
  <c r="Q20" i="2"/>
  <c r="Q22" i="2"/>
  <c r="Q26" i="2"/>
  <c r="Q21" i="2"/>
  <c r="Q27" i="2"/>
  <c r="Q17" i="2"/>
  <c r="F17" i="2"/>
  <c r="F18" i="2" s="1"/>
  <c r="Q18" i="2"/>
  <c r="C128" i="1"/>
  <c r="C131" i="1" s="1"/>
  <c r="H127" i="1"/>
  <c r="Q3" i="1"/>
  <c r="Q28" i="1"/>
  <c r="Q5" i="1"/>
  <c r="Q20" i="1"/>
  <c r="Q26" i="1"/>
  <c r="Q10" i="1"/>
  <c r="Q32" i="1"/>
  <c r="Q16" i="1"/>
  <c r="Q14" i="1"/>
  <c r="Q18" i="1"/>
  <c r="Q22" i="1"/>
  <c r="Q124" i="1"/>
  <c r="Q36" i="1"/>
  <c r="Q11" i="1"/>
  <c r="Q30" i="1"/>
  <c r="Q34" i="1"/>
  <c r="I127" i="1"/>
  <c r="E128" i="1" s="1"/>
  <c r="E131" i="1" s="1"/>
  <c r="Q6" i="1"/>
  <c r="Q4" i="1"/>
  <c r="Q8" i="1"/>
  <c r="Q21" i="1"/>
  <c r="D127" i="1"/>
  <c r="Q27" i="1"/>
  <c r="Q9" i="1"/>
  <c r="Q25" i="1"/>
  <c r="Q19" i="1"/>
  <c r="Q35" i="1"/>
  <c r="Q13" i="1"/>
  <c r="Q29" i="1"/>
  <c r="Q7" i="1"/>
  <c r="Q23" i="1"/>
  <c r="Q17" i="1"/>
  <c r="Q33" i="1"/>
  <c r="D128" i="1" l="1"/>
  <c r="D131" i="1" s="1"/>
  <c r="D132" i="1" s="1"/>
  <c r="D133" i="1" s="1"/>
  <c r="C132" i="1"/>
  <c r="C133" i="1" s="1"/>
  <c r="F127" i="1"/>
  <c r="F128" i="1" l="1"/>
  <c r="F131" i="1" s="1"/>
  <c r="F132" i="1" s="1"/>
  <c r="F133" i="1" s="1"/>
  <c r="F5" i="3"/>
</calcChain>
</file>

<file path=xl/sharedStrings.xml><?xml version="1.0" encoding="utf-8"?>
<sst xmlns="http://schemas.openxmlformats.org/spreadsheetml/2006/main" count="819" uniqueCount="387">
  <si>
    <t>FECHA Emisión</t>
  </si>
  <si>
    <t>PESOS</t>
  </si>
  <si>
    <t>DOLARES</t>
  </si>
  <si>
    <t>TC</t>
  </si>
  <si>
    <t>Cliente</t>
  </si>
  <si>
    <t xml:space="preserve">Concepto </t>
  </si>
  <si>
    <t>Fecha tentativa de Pago</t>
  </si>
  <si>
    <t>FOCO ROJO</t>
  </si>
  <si>
    <t>Ingreso (depósito)</t>
  </si>
  <si>
    <t>Comentario</t>
  </si>
  <si>
    <t>CFDI</t>
  </si>
  <si>
    <t>Subtotal</t>
  </si>
  <si>
    <t>IVA</t>
  </si>
  <si>
    <t>IVA RETENIDO</t>
  </si>
  <si>
    <t>TOTAL</t>
  </si>
  <si>
    <t xml:space="preserve">Subtotal </t>
  </si>
  <si>
    <t>Se</t>
  </si>
  <si>
    <t>Proyecto</t>
  </si>
  <si>
    <t>sin iva</t>
  </si>
  <si>
    <t>¿VENCIDO?</t>
  </si>
  <si>
    <t>Fecha de pago</t>
  </si>
  <si>
    <t>%</t>
  </si>
  <si>
    <t>Abogado externo</t>
  </si>
  <si>
    <t>Monto</t>
  </si>
  <si>
    <t>total</t>
  </si>
  <si>
    <t>factura</t>
  </si>
  <si>
    <t>Con retenciones</t>
  </si>
  <si>
    <t>fecha de pago</t>
  </si>
  <si>
    <t>CMS211125CG4</t>
  </si>
  <si>
    <t>CONSTELACION MEXICANA DE SOLARA</t>
  </si>
  <si>
    <t>Servicios legales diciembre</t>
  </si>
  <si>
    <t>XEXX010101000</t>
  </si>
  <si>
    <t>BAP000512BP0</t>
  </si>
  <si>
    <t>BIOMETRIA APLICADA</t>
  </si>
  <si>
    <t>Servicios legales enero</t>
  </si>
  <si>
    <t>enero</t>
  </si>
  <si>
    <t>January</t>
  </si>
  <si>
    <t>DBM000228J35</t>
  </si>
  <si>
    <t>BINANCE INVESTMENTS CO., LTD</t>
  </si>
  <si>
    <t>PCE811216FC3</t>
  </si>
  <si>
    <t>PENSIONES CIVILES DEL ESTADO DE CHIHUAHUA</t>
  </si>
  <si>
    <t>BANCO CITI MEXICO, SOCIEDAD ANONIMA, 
INSTITUCION DE BANCA MULTIPLE, GRUPO</t>
  </si>
  <si>
    <t xml:space="preserve">Admisión de demanda </t>
  </si>
  <si>
    <t>Operadora de Colegios La Salle, S.C. (Admisión de demanda) No. Passport 2025007622P</t>
  </si>
  <si>
    <t>diciembre</t>
  </si>
  <si>
    <t>GR services – January</t>
  </si>
  <si>
    <t>Servicios Legales.- Avances de los Litigios 
de los Amparos del mes de diciembre.</t>
  </si>
  <si>
    <t>DLG -ATENCION DE OFICIOS SEPTIEMBRE, OCTUBRE, NOVIEMBRE Y DICIEMBRE 2025. (Septiembre 2025) No. Passport 2025008669P</t>
  </si>
  <si>
    <t>(Septiembre 2025)</t>
  </si>
  <si>
    <t>BANCO CITI MEXICO, SOCIEDAD ANONIMA,
 INSTITUCION DE BANCA MULTIPLE, GRUPO</t>
  </si>
  <si>
    <t>DLG -ATENCION DE OFICIOS SEPTIEMBRE, OCTUBRE, NOVIEMBRE Y DICIEMBRE 2025. (Octubre 2025) No. Passport 2025008669P</t>
  </si>
  <si>
    <t>(Octubre 2025)</t>
  </si>
  <si>
    <t>Grupo Emergity, S.A.P.I (Civil) (Admisión de
 demanda) No. Passport 2025007460P</t>
  </si>
  <si>
    <t>Operadora de Colegios La Salle, S.C. (Interpelación Judicial realizada en conjunto con el Notario Público) No.Passport 2025007622P</t>
  </si>
  <si>
    <t xml:space="preserve"> (Interpelación Judicial realizada en conjunto con el Notario Público) </t>
  </si>
  <si>
    <t xml:space="preserve">(Admisión de demanda) </t>
  </si>
  <si>
    <t>TOTAL GENERAL</t>
  </si>
  <si>
    <t>INGRESOS TOTALES PESOS</t>
  </si>
  <si>
    <t>RFC</t>
  </si>
  <si>
    <t>Concepto</t>
  </si>
  <si>
    <t xml:space="preserve">Proyecto </t>
  </si>
  <si>
    <t>Fecha de ingreso para Pago</t>
  </si>
  <si>
    <t>Fecha tentativa de Pago SIN IVA</t>
  </si>
  <si>
    <t>Comentarios</t>
  </si>
  <si>
    <t>CAM431202CM0</t>
  </si>
  <si>
    <t>CENTRO ASTURIANO DE MEXICO</t>
  </si>
  <si>
    <t>Servicios Legales (enero).</t>
  </si>
  <si>
    <t>BNO670315CD0</t>
  </si>
  <si>
    <t>BANCO NACIONAL DE OBRAS Y SERVICIOS PUBLICOS
SOCIEDAD NACIONAL DE CREDITO</t>
  </si>
  <si>
    <t>Prestación de Servicios derivado del Contrato no. DAGA/069/2025, correspondiente al mes de diciembre de 2025.</t>
  </si>
  <si>
    <t>RIPPLE LABS INC.</t>
  </si>
  <si>
    <t>Legal Services November</t>
  </si>
  <si>
    <t xml:space="preserve">November </t>
  </si>
  <si>
    <t>PowerUp Technology Inc.</t>
  </si>
  <si>
    <t>BANCO CITI MEXICO, SOCIEDAD ANONIMA, INSTITUCION DE BANCA MULTIPLE, GRUPO</t>
  </si>
  <si>
    <t>DLG -ATENCION DE OFICIOS SEPTIEMBRE, 
OCTUBRE, NOVIEMBRE Y DICIEMBRE 2025. 
(Noviembre 2025) No. Passport 2025008669P</t>
  </si>
  <si>
    <t xml:space="preserve">Noviembre </t>
  </si>
  <si>
    <t>17.9075</t>
  </si>
  <si>
    <t>Legal Services November.</t>
  </si>
  <si>
    <t>DLG -ATENCION DE OFICIOS SEPTIEMBRE, OCTUBRE, NOVIEMBRE Y DICIEMBRE 2025. (Diciembre 2025) No. Passport 2025008669P</t>
  </si>
  <si>
    <t>Diciembre 2025</t>
  </si>
  <si>
    <t>BNM840515VB1</t>
  </si>
  <si>
    <t>BANCO NACIONAL DE MEXICO</t>
  </si>
  <si>
    <t>COSTCO ATIZAPAN - contribuciones locales (Opinión Legal) LM: 202520289</t>
  </si>
  <si>
    <t xml:space="preserve">Opinión Legal </t>
  </si>
  <si>
    <t>COSTCO ATIZAPAN - contribuciones locales
 (Opinión Legal) (Etapa 2. Demanda de Nulidad) 
LM: 202520289</t>
  </si>
  <si>
    <t xml:space="preserve"> Etapa 2. Demanda de Nulidad</t>
  </si>
  <si>
    <t>AIM9712176Q7</t>
  </si>
  <si>
    <t>ACTIVE INTERNATIONAL MEXICO SERVICES</t>
  </si>
  <si>
    <t>Servicios Legales del 15 de diciembre 2025 al 15 de enero 2026.</t>
  </si>
  <si>
    <t>15 de diciembre 2025 
al 15 de enero 2026.</t>
  </si>
  <si>
    <t>December</t>
  </si>
  <si>
    <t xml:space="preserve">Legal Services December </t>
  </si>
  <si>
    <t>TRA150604TW1</t>
  </si>
  <si>
    <t>TECNOLOGIAS RAPPI</t>
  </si>
  <si>
    <t>Servicios Legales.- Atención del juicio de amparo promovido por Rappi en contra del artículo 307 TER del Código Fiscal de la CDMX (Ene 26). Orden de Compra No. OCMX14401.</t>
  </si>
  <si>
    <t>enero 26</t>
  </si>
  <si>
    <t>DIMACO EQUIPOS S.A. DE C.V. (contestación de demanda y admisión) LM: 202420783</t>
  </si>
  <si>
    <t xml:space="preserve">contestación de demanda y admisión </t>
  </si>
  <si>
    <t>GPA170111MM5</t>
  </si>
  <si>
    <t>GRUPO PATRIAM</t>
  </si>
  <si>
    <t>Servicios Legales (retainer)</t>
  </si>
  <si>
    <t xml:space="preserve">Retainer </t>
  </si>
  <si>
    <t>GEC981004RE5</t>
  </si>
  <si>
    <t>Gobierno del Estado de Chihuahua</t>
  </si>
  <si>
    <t>Servicios Legales de enero 2026.</t>
  </si>
  <si>
    <t>enero 2026</t>
  </si>
  <si>
    <t>PLA151211I50</t>
  </si>
  <si>
    <t>PONDERA LAB</t>
  </si>
  <si>
    <t>Asesoría en materia Fiscal en relación con el producto de renta de algoritmo (séptimo pago)</t>
  </si>
  <si>
    <t>séptimo pago</t>
  </si>
  <si>
    <t xml:space="preserve">sentencia firme </t>
  </si>
  <si>
    <t>cancelada</t>
  </si>
  <si>
    <t>Honorarios Profesionales por Asesoría Jurídica por la quinta etapa correspondiente a la sentencia firme en el juicio, radicado en el tribunal superior de justicia en la Ciudad de México Exp. 937/2024 Asunto: RIO SUL, S.A. de C.V. (Prov Prec. y Hipotecario CRA$89,500.000.00 MN) LM:202413990</t>
  </si>
  <si>
    <t>Honorarios Profesionales por Asesoría Jurídica por la tercera etapa correspondiente a la sentencia firme en el juicio, radicado en el tribunal superior de justicia en la Ciudad de México Exp. 937/2024 Asunto: RIO SUL, S.A. de C.V. (Prov Prec. y Hipotecario CRA$89,500.000.00 MN) LM: 202413990</t>
  </si>
  <si>
    <t>Gorodovsky Strimling Elena (Sentencia
Ejecutoriada) LM: 202314643</t>
  </si>
  <si>
    <t>Sentencia Ejecutoriada</t>
  </si>
  <si>
    <t>SEGURA REBOLLAR JUAN CARLOS (Sentencia
 Ejecutoriada) LM: 202403907</t>
  </si>
  <si>
    <t>BMN930209927</t>
  </si>
  <si>
    <t>BANCO MERCANTIL DEL NORTE SA INSTITUCION 
DE BANCA MULTIPLE GRUPO</t>
  </si>
  <si>
    <t>“Honorarios por servicios de corresponsalía para diligenciar el exhorto 97/2025, radicado en Monterrey, Nuevo León, relacionado con la demanda en contra de Pequeños Propietarios del Río Bravo” Junio - Diciembre 2025</t>
  </si>
  <si>
    <t>Honorarios por servicios de 
corresponsalía</t>
  </si>
  <si>
    <t>“Reembolso de gastos realizados para diligenciar exhorto 97/2025 radicado en Río Bravo, Tamaulipas por la demanda en contra de Pequeños Propietarios del Río Bravo”</t>
  </si>
  <si>
    <t xml:space="preserve">Reembolso de gastos </t>
  </si>
  <si>
    <t>17.2830</t>
  </si>
  <si>
    <t>Legal Services December.</t>
  </si>
  <si>
    <t>17.2532</t>
  </si>
  <si>
    <t>GR services – February</t>
  </si>
  <si>
    <t>February</t>
  </si>
  <si>
    <t>Honorarios Profesionales por Asesoría Jurídica por la tercera etapa correspondiente a la sentencia firme en el juicio, radicado en el juzgado décimo quinto de lo civil Exp. 572/2024 Asunto: RIO SU, S.A. de C.V. (Prov Prec y Juicio Ejec Merc CAC USD $9,226,221.45) LM: 202416280</t>
  </si>
  <si>
    <t>Tercera etapa correspondiente a la 
sentencia firme en el juicio</t>
  </si>
  <si>
    <t>Honorarios Profesionales por Asesoría Jurídica por la quinta etapa correspondiente a la sentencia firme en el juicio, radicado en el juzgado décimo quinto de lo civil Exp. 572/2024 Asunto: RIO SU, S.A. de C.V. (Prov Prec y Juicio Ejec Merc CAC US $9,226,221.45) LM: 202416280</t>
  </si>
  <si>
    <t>quinta etapa correspondiente a la 
sentencia firme en eljuicio</t>
  </si>
  <si>
    <t>Honorarios Profesionales por Asesoría Jurídica por la tercera etapa correspondiente a la sentencia de primera instancia en el juicio promovido, radicado en el juzgado 55 de lo civil en la Ciudad de México Exp. 937/2024 Asunto: ARTE EN DENIM, S.A. DE C.V. (Proced. Providencias Prec. y Juicio Esp. Hipotecario vs acreditada CRA $89,500,000.00 MN)
LM: 202416374</t>
  </si>
  <si>
    <t>tercera etapa correspondiente a la 
sentencia de primerainstancia en el 
juicio promovido</t>
  </si>
  <si>
    <t>Honorarios Profesionales por Asesoría Jurídica por la quinta etapa correspondiente a la sentencia firme en el juicio promovido, radicado en el juzgado 55 de lo civil en
la Ciudad de México Exp. 937/2024 Asunto: ARTE EN DENIM, S.A. DE C.V. (Proced. Providencias Prec. y Juicio Esp. Hipotecario vs acreditada CRA $89,500,000.00 MN) LM:
202416374</t>
  </si>
  <si>
    <t>quinta etapa correspondiente a la sentencia firme en el
juicio promovido</t>
  </si>
  <si>
    <t>MDS990730IV1</t>
  </si>
  <si>
    <t>MAXIMAGE DATA SYSTEMS</t>
  </si>
  <si>
    <t>Servicios Legales.- asesoría relativa a las reformas a la Ley General de Títulos y Operaciones de Crédito</t>
  </si>
  <si>
    <t xml:space="preserve">Taller </t>
  </si>
  <si>
    <t>COPYDIGSA COPIADORAS   Y DIGITALIZACIONES, S.A. DE C.V. (Sentencia Ejecutoriada) LM: 202419442</t>
  </si>
  <si>
    <t>COPYDIGSA COPIADORAS Y DIGITALIZACIONES, S.A. DE C.V. (Cuota de éxito) LM: 202419442</t>
  </si>
  <si>
    <t xml:space="preserve">Cuota de éxito </t>
  </si>
  <si>
    <t xml:space="preserve">enero </t>
  </si>
  <si>
    <t>CNI591031UY0</t>
  </si>
  <si>
    <t>CAMARA NACIONAL DE LA INDUSTRIA TEQUILERA</t>
  </si>
  <si>
    <t>Servicios Legales Estrategia IEPS Enero.</t>
  </si>
  <si>
    <t>Enero</t>
  </si>
  <si>
    <t>FME120803935</t>
  </si>
  <si>
    <t>FACEBOOK MEXICO</t>
  </si>
  <si>
    <t>Public Policy Consultancy Services January 
2026 – PO Number 70001620513</t>
  </si>
  <si>
    <t>January 2026</t>
  </si>
  <si>
    <t>BANCO NACIONAL DE OBRAS Y SERVICIOS 
PUBLICOS SOCIEDAD NACIONAL DE CREDITO</t>
  </si>
  <si>
    <t>Prestación de Servicios derivado del Contrato no. DAGA/069/2025, correspondiente al mes de enero de 2025.</t>
  </si>
  <si>
    <t>enero 2025</t>
  </si>
  <si>
    <t>Prestación de Servicios derivado del Contrato no. DAGA/069/2025, correspondiente al mes de enero de 2026.</t>
  </si>
  <si>
    <t>Servicios Legales (febrero).</t>
  </si>
  <si>
    <t xml:space="preserve">febrero </t>
  </si>
  <si>
    <t>Servicios legales febrero</t>
  </si>
  <si>
    <t>Depositaron 14,265.92 debiendo ser 14,310.92, hay una diferencia de 45 usd</t>
  </si>
  <si>
    <t>PAGADO</t>
  </si>
  <si>
    <t xml:space="preserve">cancelada </t>
  </si>
  <si>
    <t>Servicios de consultoría enero.</t>
  </si>
  <si>
    <t>BORGIO JUICIO EJECUTIVO MERCANTIL (EJECUCIÓN DE CONVENIO) (Emplazamiento y embargo) LM: 202516908</t>
  </si>
  <si>
    <t>Emplazamiento y embargo</t>
  </si>
  <si>
    <t>Grupo Emergity, S.A.P.I (Civil) (Desahogo de 
pruebas) No. Passport 2025007460P</t>
  </si>
  <si>
    <t>Desahogo de pruebas</t>
  </si>
  <si>
    <t>Grupo Emergity, S.A.P.I (Civil) (Sentencia de 
primera instancia) No. Passport 2025007460P</t>
  </si>
  <si>
    <t>Sentencia de primera instancia</t>
  </si>
  <si>
    <t>Servicios Legales.- Avances de los Litigios de
los Amparos del mes de enero.</t>
  </si>
  <si>
    <t>PRODUCTORA Y COMERCIALIZADORA
 INTERNACIONAL MEXICANA S.A. DEC.V. 
(Sentencia Definitiva) LM: 202412297</t>
  </si>
  <si>
    <t xml:space="preserve">Sentencia Definitiva </t>
  </si>
  <si>
    <t>PRODUCTORA Y COMERCIALIZADORA
 INTERNACIONAL MEXICANA S.A. DE
C.V. (Sentencia Ejecutoriada) LM: 202412297</t>
  </si>
  <si>
    <t>DIAZ VARGAS OSCAR LEONEL (Contestación 
de demanda) LM: 202519360</t>
  </si>
  <si>
    <t xml:space="preserve">contestación de demanda </t>
  </si>
  <si>
    <t>DISEÑO DE EQUIPO Y EMPAQUES, S.A. DE C.V. (Sentencia Ejecutoriada) LM: 202414372</t>
  </si>
  <si>
    <t>FE GRUPO TADAC, S.A. DE C.V. (contestación 
de demanda, desahogo de pruebas y sentencia definitiva) LM: 202414445</t>
  </si>
  <si>
    <t>contestación de demanda, desahogo de pruebas y sentencia definitiva</t>
  </si>
  <si>
    <t>COLÍN PRIETO ALFREDO (Contestación de 
demanda) LM: 202500175</t>
  </si>
  <si>
    <t>Contestación de demanda</t>
  </si>
  <si>
    <t>COLÍN PRIETO ALFREDO I (Tarjetas) (
Contestación de demanda) LM: 202500177</t>
  </si>
  <si>
    <t>GONZÁLEZ VEGA IRMA ALEJANDRA 
(Desahogo de pruebas) LM: 202501955</t>
  </si>
  <si>
    <t>Presentación de solicitud de 
reconocimiento de Créditos</t>
  </si>
  <si>
    <t>GONZÁLEZ VEGA IRMA ALEJANDRA (Desahogo 
de pruebas) LM: 202501955</t>
  </si>
  <si>
    <t>HERRERA TELLO TERESA GRICELDA (Sentencia Ejecutoriada) LM: 202409895</t>
  </si>
  <si>
    <t>suma</t>
  </si>
  <si>
    <t>GRAN</t>
  </si>
  <si>
    <t>noviembre</t>
  </si>
  <si>
    <t>Noviembre</t>
  </si>
  <si>
    <t>CONTINUA</t>
  </si>
  <si>
    <t>continua</t>
  </si>
  <si>
    <t>Diciembre</t>
  </si>
  <si>
    <t>BANAMEX</t>
  </si>
  <si>
    <t>litigio</t>
  </si>
  <si>
    <t>Febrero</t>
  </si>
  <si>
    <t>BANOBRAS</t>
  </si>
  <si>
    <t>Prestación de Servicios derivado del
Contrato no. DAGA/069/2025, correspondiente al mes de octubre de 2025.</t>
  </si>
  <si>
    <t>octubre</t>
  </si>
  <si>
    <t>BANORTE</t>
  </si>
  <si>
    <t>Servicios Legales - Finiquito por reestructuración (Humberto Juárez Ramírez)</t>
  </si>
  <si>
    <t>Servicios legales: 2.Ruta Crítica ($100,000.00 más IVA) 3.Elaboración de documentos con base en el marco legal del GBC. (CAP por horas) 4.Convenio de Reconocimiento de Adeudo y Compromiso de pago. (CAP por
horas) 5.Elaboración de instrumentos jurídicos. (CAP por horas)</t>
  </si>
  <si>
    <t>6 de noviembe</t>
  </si>
  <si>
    <t>Servicios Legales. – Honorarios por emplazamiento o desahogos de emplazamientos (Fabricante y Comercializador Beta). No. Cyber 181958</t>
  </si>
  <si>
    <t>Servicios Legales. – honorarios por ejecución de providencias precautorias (Fabricante y Comercializador Beta). No. Cyber 181958</t>
  </si>
  <si>
    <t>Presentación de escrito de contestación
de demanda (Ovando Ulloa)</t>
  </si>
  <si>
    <t>Servicios Legales - Finiquito por reestructuración (Daniela Espinosa Prida) y Porcentaje adicional (20%)</t>
  </si>
  <si>
    <t>ya terminó</t>
  </si>
  <si>
    <t>GR services – September</t>
  </si>
  <si>
    <t>VENCE EN MAYO</t>
  </si>
  <si>
    <t>Servicios legales septiembre</t>
  </si>
  <si>
    <t>CNIT</t>
  </si>
  <si>
    <t>Servicios Legales (septiembre 25).</t>
  </si>
  <si>
    <t>vence el 30 de noviembre</t>
  </si>
  <si>
    <t>CITI</t>
  </si>
  <si>
    <t>CONSTELACIÓN SOLARA</t>
  </si>
  <si>
    <t>DIAGEO</t>
  </si>
  <si>
    <t>Pago único</t>
  </si>
  <si>
    <t>DIDI PAY</t>
  </si>
  <si>
    <t>Legal, Regulatory and Public Policy Consulting Services for September Purchase Order No. POI202507280002</t>
  </si>
  <si>
    <t>EN PROCESO</t>
  </si>
  <si>
    <t>EN PROCESO LA PO</t>
  </si>
  <si>
    <t>DIDI MOBILITY</t>
  </si>
  <si>
    <t>diciembre y extra</t>
  </si>
  <si>
    <t>termina el 31 diciembre</t>
  </si>
  <si>
    <t>Servicios Legales de octubre 2025.</t>
  </si>
  <si>
    <t>octube</t>
  </si>
  <si>
    <t>CONL</t>
  </si>
  <si>
    <t>ANTICIPO</t>
  </si>
  <si>
    <t>TERMINA EN NOVIEMBRE</t>
  </si>
  <si>
    <t>respuesta a la conclusión</t>
  </si>
  <si>
    <t>sigue una de 100k</t>
  </si>
  <si>
    <t>H&amp;K</t>
  </si>
  <si>
    <t>Demanda de nulidad</t>
  </si>
  <si>
    <t>KOSMOS</t>
  </si>
  <si>
    <t>Servicios Legales.- Honorario por éxito.</t>
  </si>
  <si>
    <t>Honorario por éxito (Kosmos)</t>
  </si>
  <si>
    <t>Servicios Legales.- Diagnóstico inicial</t>
  </si>
  <si>
    <t xml:space="preserve">Diagnóstico inicial </t>
  </si>
  <si>
    <t xml:space="preserve">PENSIONES CIVILES </t>
  </si>
  <si>
    <t>Servicios Legales.- Avances de los Litigios de los Amparos del mes de septiembre.</t>
  </si>
  <si>
    <t>1 DE AGOSTO HASTA SU CONCLUSIÓN DEL PROCESO DE AMPARO</t>
  </si>
  <si>
    <t>PHILIP MORRIS MEXICO</t>
  </si>
  <si>
    <t>Servicios de consultoría fiscal y económica 3er trimestre (PO 5701565260)</t>
  </si>
  <si>
    <t>3er trimestre 
(PO 5701565260)</t>
  </si>
  <si>
    <t>Servicios de consultoría fiscal y económica 4to trimestre (PO 5701600513).</t>
  </si>
  <si>
    <t xml:space="preserve"> 4to trimestre</t>
  </si>
  <si>
    <t>Asesoría en materia Fiscal en relación con el producto de renta de algoritmo (tercer pago).</t>
  </si>
  <si>
    <t>4to pago</t>
  </si>
  <si>
    <t>Servicios de consultoría septiembre.</t>
  </si>
  <si>
    <t>Servicios de consultoría octubre.</t>
  </si>
  <si>
    <t>Legal Services September.</t>
  </si>
  <si>
    <t>Septiembre</t>
  </si>
  <si>
    <t>ENTRE 2000 Y 6000 DOLARES</t>
  </si>
  <si>
    <t>febrero</t>
  </si>
  <si>
    <t>sept y oct 2025 y emergity</t>
  </si>
  <si>
    <t xml:space="preserve">Prefactura </t>
  </si>
  <si>
    <t>ATENCIÓN DE OFICIOS 2026. DLG ABOGADOS (Enero 2026) No. Passport 2026001115P</t>
  </si>
  <si>
    <t>Enero 2026</t>
  </si>
  <si>
    <t>Servicios Legales.</t>
  </si>
  <si>
    <t>Servicios Legales</t>
  </si>
  <si>
    <t>Multiservicios Mexicanos, S.A. de C.V vs CBM
 Banco. (Contestación de demanda) No. 
Passport 2025007627P</t>
  </si>
  <si>
    <t xml:space="preserve">Contestación de demanda </t>
  </si>
  <si>
    <t>Servicios Legales Complemento.</t>
  </si>
  <si>
    <t>SL GLOBAL INVESTMENTS LLC</t>
  </si>
  <si>
    <t>Legal Services.</t>
  </si>
  <si>
    <t>a la cuenta cae la cantidad de $721,323.00</t>
  </si>
  <si>
    <t>Presentación de solicitud de reconocimiento de Créditos (Fabricante y Comercializadora BETA)</t>
  </si>
  <si>
    <t>Servicios GONZÁLEZ VEGA IRMA ALEJANDRA
(Cuota de éxito) LM: 202501955</t>
  </si>
  <si>
    <t>JC IMPER S.A. DE C.V. (Desahogo de pruebas) 
LM: 202414464</t>
  </si>
  <si>
    <t>JC IMPER S.A. DE C.V. (Sentencia definitiva) 
LM: 202414464</t>
  </si>
  <si>
    <t>LINDORO GUTIERREZ MARTHA YOLANDA 
(Sentencia Ejecutoriada) LM: 202320619</t>
  </si>
  <si>
    <t>LOPEZ ANDRADE MARIO (contestación de
 demanda, desahogo de pruebas y sentencia 
definitiva) LM: 202502491</t>
  </si>
  <si>
    <t>contestación de
 demanda, desahogo de pruebas 
y sentencia definitiva</t>
  </si>
  <si>
    <t>LOPEZ ANDRADE MARIO (contestación de
demanda y sentencia definitiva) LM: 202502491</t>
  </si>
  <si>
    <t>contestación de
demanda y sentencia definitiva</t>
  </si>
  <si>
    <t>MARTINEZ ROBERT MARIA ELENA (Contestación 
de demanda) LM: 202517128</t>
  </si>
  <si>
    <t>MEZA SARVIDE BARBARA ILLIANA (contestación 
de demanda, desahogo de pruebas, sentencia 
definitiva y sentencia ejecutoriada) LM: 202504046</t>
  </si>
  <si>
    <t>contestación de demanda, desahogo de pruebas, sentencia definitiva y sentencia ejecutoriada</t>
  </si>
  <si>
    <t>MEZA SARVIDE BARBARA ILLIANA I (contestación 
de demanda, desahogo de pruebas, sentencia
definitiva y sentencia ejecutoriada) (Tarjetas) 
LM: 202504064</t>
  </si>
  <si>
    <t xml:space="preserve">contestación de demanda, desahogo de pruebas,
 sentencia definitiva y sentencia ejecutoriada (Tarjetas) </t>
  </si>
  <si>
    <t>NOGUEZ MORALES J. JORGE (contestación de
 demanda, desahogo de pruebas, sentencia
 definitiva y sentencia ejecutoriada)
LM: 202412045</t>
  </si>
  <si>
    <t>contestación de
 demanda, desahogo de pruebas, sentencia
 definitiva y sentencia ejecutoriada</t>
  </si>
  <si>
    <t>NOGUEZ MORALES J. JORGE (TARJETAS)
(contestación de demanda, desahogo de pruebas 
y sentencia definitiva) LM: 202412046</t>
  </si>
  <si>
    <t>contestación de demanda, desahogo
 de pruebas y sentencia definitiva</t>
  </si>
  <si>
    <t>MARCIAL REYES JOSE BENITO (desahogo de 
pruebas y sentencia definitiva en primera
 instancia) LM: 202513064</t>
  </si>
  <si>
    <t>desahogo de pruebas y sentencia
 definitiva en primera
 instancia</t>
  </si>
  <si>
    <t>MARCIAL REYES JOSE BENITO (Peritaje) 
LM: 202513064</t>
  </si>
  <si>
    <t>Peritaje</t>
  </si>
  <si>
    <t>BASTIDA GONZALEZ ALFREDO (Contestación de 
demanda) LM: 202519350</t>
  </si>
  <si>
    <t>BANCO NACIONAL DE OBRAS Y SERVICIOS PUBLICOS
 SOCIEDAD NACIONAL DE CREDITO</t>
  </si>
  <si>
    <t>Prestación de Servicios derivado del Contrato no.DAGA/069/2025 y su convenio modificatorio, correspondiente a los días del 01 al 09 de febrero de 2026.</t>
  </si>
  <si>
    <t>convenio modificatorio, correspondiente a
 los días del 01 al 09 de febrero de 2026</t>
  </si>
  <si>
    <t>Servicios Legales del 15 de enero 2026 al 
15 de febrero 2026.</t>
  </si>
  <si>
    <t>del 15 de enero 2026 al 
15 de febrero 2026.</t>
  </si>
  <si>
    <t>Servicios Legales de febrero 2026.</t>
  </si>
  <si>
    <t>febrero 2026</t>
  </si>
  <si>
    <t>Public Policy Consultancy Services February 2026 – PO Number 70001620513</t>
  </si>
  <si>
    <t>February 2026</t>
  </si>
  <si>
    <t xml:space="preserve">Febrero </t>
  </si>
  <si>
    <t>17.2563</t>
  </si>
  <si>
    <t>GR services – March</t>
  </si>
  <si>
    <t xml:space="preserve">Marzo </t>
  </si>
  <si>
    <t>Servicios Legales (marzo).</t>
  </si>
  <si>
    <t>marzo</t>
  </si>
  <si>
    <t>Servicios legales marzo</t>
  </si>
  <si>
    <t xml:space="preserve"> </t>
  </si>
  <si>
    <t>Depositaron 11,490.74 debiendo ser 11,535.74, hay una diferencia de 45 usd</t>
  </si>
  <si>
    <t xml:space="preserve">cae completo el monto </t>
  </si>
  <si>
    <t>C/O PREISKEL &amp; CO LLP</t>
  </si>
  <si>
    <t>Elaboración y entrega de la opinión legal.</t>
  </si>
  <si>
    <t>Elaboración y entrega de la opinión
 legal.</t>
  </si>
  <si>
    <t>17.2193</t>
  </si>
  <si>
    <t>Legal Services.- Legal Opinion</t>
  </si>
  <si>
    <t>Legal Services January</t>
  </si>
  <si>
    <t>PANIN DE MEXICO SA DE CV (contestación de
 demanda y desahogo de pruebas) LM: 
202506569</t>
  </si>
  <si>
    <t>contestación de
 demanda y desahogo de pruebas</t>
  </si>
  <si>
    <t>HMD101221TS7</t>
  </si>
  <si>
    <t>BANCO ACTINVER ,SOCIEDAD ANONIMA,
 INSTITUCION DE BANCA MULTIPLE, GRUPO</t>
  </si>
  <si>
    <t>Servicios legales.- Elaboración de una opinión legal sobre implicaciones y riesgos derivados de la reforma a la Ley de
Aguas Nacionales (70%)</t>
  </si>
  <si>
    <t>HMS121003L4A</t>
  </si>
  <si>
    <t>BANCO ACTINVER, S.A., INSTITUCION DE BANCA
 MULTIPLE, GRUPO FINANCIERO</t>
  </si>
  <si>
    <t>Servicios legales.- Elaboración de una opinión legal sobre implicaciones y riesgos derivados de la reforma a la Ley de Aguas Nacionales (30%)</t>
  </si>
  <si>
    <t>RODRIGUEZ LOZANO JOSE ANTONIO (contestación de demanda, desahogo de pruebas y sentencia definitiva) LM: 202501958</t>
  </si>
  <si>
    <t>RODRIGUEZ LOZANO JOSE ANTONIO (Peritaje)
 LM: 202501958</t>
  </si>
  <si>
    <t>PRODUCTORA Y COMERCIALIZADORA
 INTERNACIONAL MEXICANA S.A. DE C.V.
 (Cuota de éxito) LM: 202412297</t>
  </si>
  <si>
    <t>AVEVA SOFTWARE MEXICO S.A. DE C.V. ANTES SCHNEIDER ELECTRIC SOFTWARE MEXICO S.A. DE C.V. (contestación de demanda y desahogo de pruebas) LM: 202409589</t>
  </si>
  <si>
    <t>contestación de demanda y desahogo 
de pruebas</t>
  </si>
  <si>
    <t>Servicios Legales febrero</t>
  </si>
  <si>
    <t>WDM990126350</t>
  </si>
  <si>
    <t xml:space="preserve">FECHA  
Emisión </t>
  </si>
  <si>
    <t>Servicios de asesoría fiscal. - opinión indemnización.</t>
  </si>
  <si>
    <t xml:space="preserve">Opinión indemnización </t>
  </si>
  <si>
    <t>WALDO'S DOLAR MART DE MEXICO</t>
  </si>
  <si>
    <t xml:space="preserve"> GPA170111MM5</t>
  </si>
  <si>
    <t>Servicios legales. - Diagnóstico y diseño de 
estrategia.</t>
  </si>
  <si>
    <t>Diagnóstico y diseño de 
estrategia.</t>
  </si>
  <si>
    <t>Servicios de consultoría febrero.</t>
  </si>
  <si>
    <t>Servicios Legales de marzo 2026.</t>
  </si>
  <si>
    <t>HERNANDEZ JURADO JUANA (Peritaje) 
LM: 202302638</t>
  </si>
  <si>
    <t>LOPEZ TORRES MARIA ARACELI (INVERSION)
(Peritaje) LM: 202408915</t>
  </si>
  <si>
    <t>TORIBIO ABOGADOS, S.C. (Reembolso Gastos
Dictamen Pericial) LM: 202405228</t>
  </si>
  <si>
    <t>DIAZ GARCIA REGINA (Reembolso Gastos 
Dictamen Pericial) LM: 202419528</t>
  </si>
  <si>
    <t>Reembolso Gastos 
Dictamen Pericial</t>
  </si>
  <si>
    <t>TEACCI S.A. DE C.V. (Reembolso Gastos 
Dictamen Pericial) LM:202500458</t>
  </si>
  <si>
    <t>WALFORD HAWKINS FRANCIS RICHARD 
(Reembolso Gastos Dictamen Pericial)
 LM: 202505490</t>
  </si>
  <si>
    <t>Servicios Legales.- Avances de los Litigios 
de los Amparos del mes de febrero.</t>
  </si>
  <si>
    <t>XCO8301044M7</t>
  </si>
  <si>
    <t>XIGNUX CORPORATIVO</t>
  </si>
  <si>
    <t>Servicios Legales (Dictamen contable)</t>
  </si>
  <si>
    <t>Dictamen contable</t>
  </si>
  <si>
    <t>Servicios Legales del 15 de febrero 2026 al 
15 de marzo 2026.</t>
  </si>
  <si>
    <t>15 de febrero 2026 al 
15 de marzo 2026.</t>
  </si>
  <si>
    <t>Grupo Emergity, S.A.P.I (Civil) (Sentencia 
Ejecutoriada) No. Passport 2025007460P</t>
  </si>
  <si>
    <t>Honorarios Profesionales por Asesoría Jurídica
Asunto: GREEN BP MEXICO S de RL de CV
(Elaboración de CACCC denominado CSB)
 LM: 202603947</t>
  </si>
  <si>
    <t>Elaboración de CACCC 
denominado CSB</t>
  </si>
  <si>
    <t>Servicios Legales.- Atención del juicio de amparo promovido por Rappi en contra del artículo 307 TER del Código Fiscal de la CDMX (FEB 26). Orden de Compra No.
OCMX14670</t>
  </si>
  <si>
    <t>feb 26</t>
  </si>
  <si>
    <t>CONCRETOS ASFALTICOS TECAMAC $25 
M (Presentación de escrito) LM: 202517006</t>
  </si>
  <si>
    <t xml:space="preserve">Presentación de escrito </t>
  </si>
  <si>
    <t>CONCRETOS ASFÁLTICOS TECÁMAC $10 M 
(Emplazamiento) LM: 202517004</t>
  </si>
  <si>
    <t xml:space="preserve">Emplazamiento </t>
  </si>
  <si>
    <t>CONCRETOS ASFALTICOS TECAMAC $25 M 
(Emplazamiento) LM: 202517006</t>
  </si>
  <si>
    <t>Emplazamiento</t>
  </si>
  <si>
    <t>CONCRETOS ASFÁLTICOS TECÁMAC $10 M
(Emplazamiento) LM: 202517004</t>
  </si>
  <si>
    <t>AFA9409296Q4</t>
  </si>
  <si>
    <t>ALMACENES Y FRIGORIFICOS AMERIBEN</t>
  </si>
  <si>
    <t>Servicios Legales. - Opinión Legal</t>
  </si>
  <si>
    <t>Kosmos, timesheet</t>
  </si>
  <si>
    <t>Astropay</t>
  </si>
  <si>
    <t xml:space="preserve">January </t>
  </si>
  <si>
    <t>ADVANCE 70%</t>
  </si>
  <si>
    <t>ADVANCE 30%</t>
  </si>
  <si>
    <t xml:space="preserve">ant </t>
  </si>
  <si>
    <t>ATENCIÓN DE OFICIOS 2026. DLG ABOGADOS (Febrero 2026) Passport 2026001115P</t>
  </si>
  <si>
    <t>Febrero 2026</t>
  </si>
  <si>
    <t>ASE931116231</t>
  </si>
  <si>
    <t>AXA SEGUROS</t>
  </si>
  <si>
    <t>Servicios Legales. - Opinión Legal (Sistema 
SIPAC)</t>
  </si>
  <si>
    <t>BANCO ACTINVER, S.A., INSTITUCION DE BANCA
 MULTIPLE, GRUPO FINANCIERO (ADVANCE)</t>
  </si>
  <si>
    <t>Servicios legales.- Modificación de la estructura jurídica y preparación de la solicitud.</t>
  </si>
  <si>
    <t>Modificación de la estructura jurídica y
 preparación de la solicitud.</t>
  </si>
  <si>
    <t>MPR0903094H2</t>
  </si>
  <si>
    <t>MACDO ABOGADOS</t>
  </si>
  <si>
    <t>Análisis Técnico Jurídico de la Carpeta de la 
Investigación FED/FECOC/UEIDFF-
CDMX/001946/2021</t>
  </si>
  <si>
    <t>Análisis Técnico Jurídico de la
 Carpeta de la Investigación</t>
  </si>
  <si>
    <t>Depositaron 3,741.14 debiendo ser 3,781.14, hay una diferencia de 40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</si>
</sst>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#,##0.0000_ ;\-#,##0.0000\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7030A0"/>
      </left>
      <right style="medium">
        <color rgb="FF7030A0"/>
      </right>
      <top style="thick">
        <color rgb="FF7030A0"/>
      </top>
      <bottom style="double">
        <color rgb="FF7030A0"/>
      </bottom>
      <diagonal/>
    </border>
    <border>
      <left style="thick">
        <color rgb="FF7030A0"/>
      </left>
      <right style="medium">
        <color rgb="FF7030A0"/>
      </right>
      <top style="double">
        <color rgb="FF7030A0"/>
      </top>
      <bottom style="thick">
        <color rgb="FF7030A0"/>
      </bottom>
      <diagonal/>
    </border>
    <border>
      <left style="medium">
        <color rgb="FF7030A0"/>
      </left>
      <right style="medium">
        <color rgb="FF7030A0"/>
      </right>
      <top style="double">
        <color rgb="FF7030A0"/>
      </top>
      <bottom style="thick">
        <color rgb="FF7030A0"/>
      </bottom>
      <diagonal/>
    </border>
    <border>
      <left style="medium">
        <color rgb="FF7030A0"/>
      </left>
      <right style="thick">
        <color rgb="FF7030A0"/>
      </right>
      <top style="double">
        <color rgb="FF7030A0"/>
      </top>
      <bottom style="thick">
        <color rgb="FF7030A0"/>
      </bottom>
      <diagonal/>
    </border>
    <border>
      <left style="thick">
        <color rgb="FF7030A0"/>
      </left>
      <right style="medium">
        <color theme="9" tint="0.39994506668294322"/>
      </right>
      <top style="double">
        <color theme="9" tint="0.39994506668294322"/>
      </top>
      <bottom style="thick">
        <color theme="9" tint="0.39994506668294322"/>
      </bottom>
      <diagonal/>
    </border>
    <border>
      <left style="medium">
        <color theme="9" tint="0.39994506668294322"/>
      </left>
      <right style="medium">
        <color theme="9" tint="0.39994506668294322"/>
      </right>
      <top style="double">
        <color theme="9" tint="0.39994506668294322"/>
      </top>
      <bottom style="thick">
        <color theme="9" tint="0.39994506668294322"/>
      </bottom>
      <diagonal/>
    </border>
    <border>
      <left style="medium">
        <color theme="9" tint="0.39994506668294322"/>
      </left>
      <right style="thick">
        <color theme="9" tint="0.39994506668294322"/>
      </right>
      <top style="double">
        <color theme="9" tint="0.39994506668294322"/>
      </top>
      <bottom style="thick">
        <color theme="9" tint="0.3999450666829432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1">
    <xf numFmtId="0" fontId="0" fillId="0" borderId="0" xfId="0"/>
    <xf numFmtId="0" fontId="2" fillId="2" borderId="1" xfId="0" applyFont="1" applyFill="1" applyBorder="1" applyAlignment="1">
      <alignment vertical="center"/>
    </xf>
    <xf numFmtId="15" fontId="2" fillId="2" borderId="2" xfId="0" applyNumberFormat="1" applyFont="1" applyFill="1" applyBorder="1" applyAlignment="1">
      <alignment vertical="center"/>
    </xf>
    <xf numFmtId="44" fontId="2" fillId="2" borderId="2" xfId="0" applyNumberFormat="1" applyFont="1" applyFill="1" applyBorder="1" applyAlignment="1">
      <alignment vertical="center"/>
    </xf>
    <xf numFmtId="44" fontId="3" fillId="3" borderId="2" xfId="0" applyNumberFormat="1" applyFont="1" applyFill="1" applyBorder="1" applyAlignment="1">
      <alignment vertical="center" wrapText="1"/>
    </xf>
    <xf numFmtId="44" fontId="3" fillId="4" borderId="2" xfId="0" applyNumberFormat="1" applyFont="1" applyFill="1" applyBorder="1" applyAlignment="1">
      <alignment vertical="center" wrapText="1"/>
    </xf>
    <xf numFmtId="16" fontId="3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6" fontId="5" fillId="2" borderId="2" xfId="0" applyNumberFormat="1" applyFont="1" applyFill="1" applyBorder="1" applyAlignment="1">
      <alignment horizontal="left" vertical="center"/>
    </xf>
    <xf numFmtId="44" fontId="2" fillId="2" borderId="2" xfId="1" applyFont="1" applyFill="1" applyBorder="1" applyAlignment="1">
      <alignment vertical="center"/>
    </xf>
    <xf numFmtId="15" fontId="3" fillId="6" borderId="2" xfId="0" applyNumberFormat="1" applyFont="1" applyFill="1" applyBorder="1" applyAlignment="1">
      <alignment horizontal="center" vertical="center"/>
    </xf>
    <xf numFmtId="15" fontId="3" fillId="7" borderId="2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44" fontId="2" fillId="2" borderId="6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44" fontId="2" fillId="2" borderId="5" xfId="1" applyFont="1" applyFill="1" applyBorder="1" applyAlignment="1">
      <alignment vertical="center"/>
    </xf>
    <xf numFmtId="15" fontId="2" fillId="2" borderId="5" xfId="0" applyNumberFormat="1" applyFont="1" applyFill="1" applyBorder="1" applyAlignment="1">
      <alignment vertical="center"/>
    </xf>
    <xf numFmtId="15" fontId="3" fillId="6" borderId="5" xfId="0" applyNumberFormat="1" applyFont="1" applyFill="1" applyBorder="1" applyAlignment="1">
      <alignment horizontal="center" vertical="center"/>
    </xf>
    <xf numFmtId="15" fontId="3" fillId="7" borderId="5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vertical="center"/>
    </xf>
    <xf numFmtId="44" fontId="3" fillId="0" borderId="8" xfId="0" applyNumberFormat="1" applyFont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4" fontId="7" fillId="0" borderId="0" xfId="0" applyNumberFormat="1" applyFont="1"/>
    <xf numFmtId="0" fontId="0" fillId="0" borderId="0" xfId="0" applyAlignment="1">
      <alignment horizontal="center" vertical="center" wrapText="1"/>
    </xf>
    <xf numFmtId="44" fontId="0" fillId="0" borderId="8" xfId="1" applyFont="1" applyFill="1" applyBorder="1" applyAlignment="1">
      <alignment horizontal="center" vertical="center"/>
    </xf>
    <xf numFmtId="49" fontId="0" fillId="0" borderId="8" xfId="1" applyNumberFormat="1" applyFont="1" applyFill="1" applyBorder="1" applyAlignment="1">
      <alignment horizontal="center" vertical="center" wrapText="1"/>
    </xf>
    <xf numFmtId="49" fontId="0" fillId="0" borderId="8" xfId="1" applyNumberFormat="1" applyFont="1" applyFill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4" fontId="0" fillId="0" borderId="0" xfId="0" applyNumberFormat="1" applyAlignment="1">
      <alignment vertical="center"/>
    </xf>
    <xf numFmtId="44" fontId="3" fillId="0" borderId="0" xfId="0" applyNumberFormat="1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3" fillId="0" borderId="10" xfId="0" applyNumberFormat="1" applyFont="1" applyBorder="1" applyAlignment="1">
      <alignment vertical="center"/>
    </xf>
    <xf numFmtId="44" fontId="3" fillId="0" borderId="10" xfId="0" applyNumberFormat="1" applyFont="1" applyBorder="1" applyAlignment="1">
      <alignment vertical="center" wrapText="1"/>
    </xf>
    <xf numFmtId="44" fontId="10" fillId="0" borderId="0" xfId="0" applyNumberFormat="1" applyFont="1" applyAlignment="1">
      <alignment horizontal="left" vertical="center"/>
    </xf>
    <xf numFmtId="44" fontId="8" fillId="0" borderId="0" xfId="1" applyFont="1" applyFill="1" applyAlignment="1">
      <alignment horizontal="center" vertical="center"/>
    </xf>
    <xf numFmtId="44" fontId="3" fillId="10" borderId="11" xfId="0" applyNumberFormat="1" applyFont="1" applyFill="1" applyBorder="1" applyAlignment="1">
      <alignment vertical="center"/>
    </xf>
    <xf numFmtId="44" fontId="3" fillId="0" borderId="12" xfId="0" applyNumberFormat="1" applyFont="1" applyBorder="1" applyAlignment="1">
      <alignment vertical="center"/>
    </xf>
    <xf numFmtId="44" fontId="3" fillId="0" borderId="12" xfId="0" applyNumberFormat="1" applyFont="1" applyBorder="1" applyAlignment="1">
      <alignment horizontal="center" vertical="center" wrapText="1"/>
    </xf>
    <xf numFmtId="44" fontId="3" fillId="0" borderId="13" xfId="0" applyNumberFormat="1" applyFont="1" applyBorder="1" applyAlignment="1">
      <alignment horizontal="center" vertical="center"/>
    </xf>
    <xf numFmtId="44" fontId="3" fillId="0" borderId="14" xfId="0" applyNumberFormat="1" applyFont="1" applyBorder="1" applyAlignment="1">
      <alignment horizontal="center" vertical="center" wrapText="1"/>
    </xf>
    <xf numFmtId="44" fontId="3" fillId="0" borderId="15" xfId="0" applyNumberFormat="1" applyFont="1" applyBorder="1" applyAlignment="1">
      <alignment horizontal="center" vertical="center" wrapText="1"/>
    </xf>
    <xf numFmtId="44" fontId="3" fillId="0" borderId="16" xfId="0" applyNumberFormat="1" applyFont="1" applyBorder="1" applyAlignment="1">
      <alignment horizontal="center" vertical="center" wrapText="1"/>
    </xf>
    <xf numFmtId="44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5" fontId="2" fillId="2" borderId="2" xfId="0" applyNumberFormat="1" applyFont="1" applyFill="1" applyBorder="1" applyAlignment="1">
      <alignment vertical="center" wrapText="1"/>
    </xf>
    <xf numFmtId="44" fontId="2" fillId="2" borderId="2" xfId="0" applyNumberFormat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5" fontId="3" fillId="6" borderId="2" xfId="0" applyNumberFormat="1" applyFont="1" applyFill="1" applyBorder="1" applyAlignment="1">
      <alignment horizontal="center" vertical="center" wrapText="1"/>
    </xf>
    <xf numFmtId="15" fontId="3" fillId="7" borderId="2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3" fillId="0" borderId="0" xfId="1" applyFont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left" vertical="center" wrapText="1"/>
    </xf>
    <xf numFmtId="44" fontId="2" fillId="2" borderId="6" xfId="0" applyNumberFormat="1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15" fontId="2" fillId="2" borderId="5" xfId="0" applyNumberFormat="1" applyFont="1" applyFill="1" applyBorder="1" applyAlignment="1">
      <alignment vertical="center" wrapText="1"/>
    </xf>
    <xf numFmtId="15" fontId="3" fillId="6" borderId="5" xfId="0" applyNumberFormat="1" applyFont="1" applyFill="1" applyBorder="1" applyAlignment="1">
      <alignment horizontal="center" vertical="center" wrapText="1"/>
    </xf>
    <xf numFmtId="15" fontId="3" fillId="7" borderId="5" xfId="0" applyNumberFormat="1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15" fontId="9" fillId="0" borderId="8" xfId="0" applyNumberFormat="1" applyFont="1" applyBorder="1" applyAlignment="1">
      <alignment horizontal="center" vertical="center" wrapText="1"/>
    </xf>
    <xf numFmtId="44" fontId="9" fillId="0" borderId="8" xfId="0" applyNumberFormat="1" applyFont="1" applyBorder="1" applyAlignment="1">
      <alignment horizontal="center" vertical="center" wrapText="1"/>
    </xf>
    <xf numFmtId="44" fontId="11" fillId="0" borderId="8" xfId="0" applyNumberFormat="1" applyFont="1" applyBorder="1" applyAlignment="1">
      <alignment horizontal="center" vertical="center" wrapText="1"/>
    </xf>
    <xf numFmtId="15" fontId="9" fillId="0" borderId="0" xfId="0" applyNumberFormat="1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44" fontId="9" fillId="0" borderId="8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4" fontId="9" fillId="0" borderId="0" xfId="0" applyNumberFormat="1" applyFont="1" applyAlignment="1">
      <alignment vertical="center" wrapText="1"/>
    </xf>
    <xf numFmtId="44" fontId="9" fillId="0" borderId="0" xfId="0" applyNumberFormat="1" applyFont="1" applyAlignment="1">
      <alignment horizontal="center" vertical="center" wrapText="1"/>
    </xf>
    <xf numFmtId="44" fontId="11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44" fontId="9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4" fontId="0" fillId="0" borderId="8" xfId="1" applyFont="1" applyFill="1" applyBorder="1" applyAlignment="1">
      <alignment horizontal="center" vertical="center" wrapText="1"/>
    </xf>
    <xf numFmtId="49" fontId="9" fillId="0" borderId="8" xfId="1" applyNumberFormat="1" applyFont="1" applyFill="1" applyBorder="1" applyAlignment="1">
      <alignment horizontal="center" vertical="center"/>
    </xf>
    <xf numFmtId="44" fontId="3" fillId="0" borderId="8" xfId="0" applyNumberFormat="1" applyFont="1" applyBorder="1" applyAlignment="1">
      <alignment horizontal="center" vertical="center"/>
    </xf>
    <xf numFmtId="16" fontId="2" fillId="2" borderId="2" xfId="0" applyNumberFormat="1" applyFont="1" applyFill="1" applyBorder="1" applyAlignment="1">
      <alignment horizontal="left" vertical="center"/>
    </xf>
    <xf numFmtId="44" fontId="2" fillId="2" borderId="2" xfId="1" applyFont="1" applyFill="1" applyBorder="1" applyAlignment="1">
      <alignment horizontal="center" vertical="center"/>
    </xf>
    <xf numFmtId="15" fontId="2" fillId="2" borderId="2" xfId="0" applyNumberFormat="1" applyFont="1" applyFill="1" applyBorder="1" applyAlignment="1">
      <alignment horizontal="left" vertical="center"/>
    </xf>
    <xf numFmtId="15" fontId="3" fillId="11" borderId="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44" fontId="2" fillId="2" borderId="5" xfId="1" applyFont="1" applyFill="1" applyBorder="1" applyAlignment="1">
      <alignment horizontal="center" vertical="center"/>
    </xf>
    <xf numFmtId="15" fontId="2" fillId="2" borderId="5" xfId="0" applyNumberFormat="1" applyFont="1" applyFill="1" applyBorder="1" applyAlignment="1">
      <alignment horizontal="left" vertical="center"/>
    </xf>
    <xf numFmtId="15" fontId="3" fillId="11" borderId="5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5" fontId="0" fillId="0" borderId="18" xfId="0" applyNumberFormat="1" applyBorder="1" applyAlignment="1">
      <alignment horizontal="center" vertical="center"/>
    </xf>
    <xf numFmtId="4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44" fontId="0" fillId="0" borderId="18" xfId="1" applyFont="1" applyFill="1" applyBorder="1" applyAlignment="1">
      <alignment horizontal="center" vertical="center"/>
    </xf>
    <xf numFmtId="15" fontId="0" fillId="0" borderId="19" xfId="0" applyNumberFormat="1" applyBorder="1" applyAlignment="1">
      <alignment horizontal="center" vertical="center"/>
    </xf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15" fontId="0" fillId="0" borderId="21" xfId="0" applyNumberForma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4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15" fontId="0" fillId="0" borderId="26" xfId="0" applyNumberFormat="1" applyBorder="1" applyAlignment="1">
      <alignment horizontal="center" vertical="center"/>
    </xf>
    <xf numFmtId="44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/>
    </xf>
    <xf numFmtId="44" fontId="0" fillId="0" borderId="17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5" fontId="0" fillId="0" borderId="31" xfId="0" applyNumberFormat="1" applyBorder="1" applyAlignment="1">
      <alignment horizontal="center" vertical="center"/>
    </xf>
    <xf numFmtId="4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5" fontId="0" fillId="0" borderId="31" xfId="0" applyNumberFormat="1" applyBorder="1" applyAlignment="1">
      <alignment horizontal="center" vertical="center" wrapText="1"/>
    </xf>
    <xf numFmtId="44" fontId="0" fillId="0" borderId="22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5" fontId="0" fillId="0" borderId="36" xfId="0" applyNumberFormat="1" applyBorder="1" applyAlignment="1">
      <alignment horizontal="center" vertical="center"/>
    </xf>
    <xf numFmtId="44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15" fontId="0" fillId="0" borderId="38" xfId="0" applyNumberFormat="1" applyBorder="1" applyAlignment="1">
      <alignment horizontal="center" vertical="center" wrapText="1"/>
    </xf>
    <xf numFmtId="49" fontId="0" fillId="0" borderId="18" xfId="1" applyNumberFormat="1" applyFont="1" applyFill="1" applyBorder="1" applyAlignment="1">
      <alignment horizontal="left" vertical="center"/>
    </xf>
    <xf numFmtId="49" fontId="0" fillId="0" borderId="8" xfId="1" applyNumberFormat="1" applyFont="1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15" fontId="0" fillId="0" borderId="40" xfId="0" applyNumberFormat="1" applyBorder="1" applyAlignment="1">
      <alignment horizontal="center" vertical="center"/>
    </xf>
    <xf numFmtId="44" fontId="0" fillId="0" borderId="40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5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17" xfId="0" applyBorder="1" applyAlignment="1">
      <alignment horizontal="center" vertical="center" wrapText="1"/>
    </xf>
    <xf numFmtId="15" fontId="0" fillId="0" borderId="18" xfId="0" applyNumberFormat="1" applyBorder="1" applyAlignment="1">
      <alignment horizontal="center" vertical="center" wrapText="1"/>
    </xf>
    <xf numFmtId="44" fontId="0" fillId="12" borderId="18" xfId="0" applyNumberFormat="1" applyFill="1" applyBorder="1" applyAlignment="1">
      <alignment horizontal="center" vertical="center" wrapText="1"/>
    </xf>
    <xf numFmtId="44" fontId="0" fillId="12" borderId="18" xfId="0" applyNumberFormat="1" applyFill="1" applyBorder="1" applyAlignment="1">
      <alignment horizontal="center" vertical="center"/>
    </xf>
    <xf numFmtId="44" fontId="0" fillId="12" borderId="8" xfId="0" applyNumberFormat="1" applyFill="1" applyBorder="1" applyAlignment="1">
      <alignment horizontal="center" vertical="center" wrapText="1"/>
    </xf>
    <xf numFmtId="44" fontId="0" fillId="12" borderId="8" xfId="0" applyNumberFormat="1" applyFill="1" applyBorder="1" applyAlignment="1">
      <alignment horizontal="center" vertical="center"/>
    </xf>
    <xf numFmtId="44" fontId="0" fillId="12" borderId="23" xfId="0" applyNumberFormat="1" applyFill="1" applyBorder="1" applyAlignment="1">
      <alignment horizontal="center" vertical="center" wrapText="1"/>
    </xf>
    <xf numFmtId="44" fontId="0" fillId="12" borderId="23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49" fontId="0" fillId="0" borderId="18" xfId="1" applyNumberFormat="1" applyFont="1" applyFill="1" applyBorder="1" applyAlignment="1">
      <alignment horizontal="center" vertical="center"/>
    </xf>
    <xf numFmtId="15" fontId="0" fillId="0" borderId="34" xfId="0" applyNumberFormat="1" applyBorder="1" applyAlignment="1">
      <alignment horizontal="center" vertical="center"/>
    </xf>
    <xf numFmtId="49" fontId="0" fillId="0" borderId="23" xfId="1" applyNumberFormat="1" applyFont="1" applyFill="1" applyBorder="1" applyAlignment="1">
      <alignment horizontal="center" vertical="center"/>
    </xf>
    <xf numFmtId="0" fontId="0" fillId="7" borderId="24" xfId="0" applyFill="1" applyBorder="1"/>
    <xf numFmtId="44" fontId="0" fillId="0" borderId="18" xfId="0" applyNumberFormat="1" applyBorder="1" applyAlignment="1">
      <alignment horizontal="center" vertical="center" wrapText="1"/>
    </xf>
    <xf numFmtId="49" fontId="0" fillId="0" borderId="18" xfId="1" applyNumberFormat="1" applyFont="1" applyFill="1" applyBorder="1" applyAlignment="1">
      <alignment horizontal="center" vertical="center" wrapText="1"/>
    </xf>
    <xf numFmtId="15" fontId="0" fillId="0" borderId="19" xfId="0" applyNumberFormat="1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5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49" fontId="0" fillId="0" borderId="36" xfId="1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" fontId="0" fillId="0" borderId="0" xfId="0" applyNumberFormat="1"/>
    <xf numFmtId="0" fontId="0" fillId="0" borderId="24" xfId="0" applyBorder="1"/>
    <xf numFmtId="44" fontId="0" fillId="0" borderId="17" xfId="0" applyNumberFormat="1" applyBorder="1" applyAlignment="1">
      <alignment horizontal="center" vertical="center" wrapText="1"/>
    </xf>
    <xf numFmtId="15" fontId="0" fillId="0" borderId="30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5" fontId="0" fillId="0" borderId="26" xfId="0" applyNumberFormat="1" applyBorder="1" applyAlignment="1">
      <alignment horizontal="center" vertical="center" wrapText="1"/>
    </xf>
    <xf numFmtId="44" fontId="0" fillId="0" borderId="26" xfId="0" applyNumberFormat="1" applyBorder="1" applyAlignment="1">
      <alignment horizontal="center" vertical="center" wrapText="1"/>
    </xf>
    <xf numFmtId="44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44" fontId="0" fillId="0" borderId="26" xfId="1" applyFont="1" applyFill="1" applyBorder="1" applyAlignment="1">
      <alignment horizontal="left" vertical="center"/>
    </xf>
    <xf numFmtId="15" fontId="0" fillId="0" borderId="28" xfId="0" applyNumberFormat="1" applyBorder="1" applyAlignment="1">
      <alignment horizontal="center" vertical="center"/>
    </xf>
    <xf numFmtId="44" fontId="0" fillId="0" borderId="26" xfId="1" applyFont="1" applyFill="1" applyBorder="1" applyAlignment="1">
      <alignment horizontal="left" vertical="center" wrapText="1"/>
    </xf>
    <xf numFmtId="0" fontId="0" fillId="0" borderId="26" xfId="0" applyBorder="1" applyAlignment="1">
      <alignment horizontal="center" vertical="center"/>
    </xf>
    <xf numFmtId="49" fontId="0" fillId="0" borderId="26" xfId="1" applyNumberFormat="1" applyFont="1" applyFill="1" applyBorder="1" applyAlignment="1">
      <alignment horizontal="left" vertical="center"/>
    </xf>
    <xf numFmtId="15" fontId="0" fillId="7" borderId="28" xfId="0" applyNumberFormat="1" applyFill="1" applyBorder="1" applyAlignment="1">
      <alignment horizontal="center" vertical="center"/>
    </xf>
    <xf numFmtId="15" fontId="0" fillId="0" borderId="27" xfId="0" applyNumberFormat="1" applyBorder="1" applyAlignment="1">
      <alignment horizontal="center" vertical="center"/>
    </xf>
    <xf numFmtId="15" fontId="0" fillId="7" borderId="42" xfId="0" applyNumberFormat="1" applyFill="1" applyBorder="1" applyAlignment="1">
      <alignment horizontal="center" vertical="center"/>
    </xf>
    <xf numFmtId="49" fontId="0" fillId="0" borderId="8" xfId="1" applyNumberFormat="1" applyFont="1" applyBorder="1" applyAlignment="1">
      <alignment horizontal="center" vertical="center"/>
    </xf>
    <xf numFmtId="44" fontId="0" fillId="7" borderId="20" xfId="0" applyNumberFormat="1" applyFill="1" applyBorder="1" applyAlignment="1">
      <alignment horizontal="center" vertical="center"/>
    </xf>
    <xf numFmtId="44" fontId="0" fillId="7" borderId="39" xfId="0" applyNumberFormat="1" applyFill="1" applyBorder="1" applyAlignment="1">
      <alignment horizontal="center" vertical="center"/>
    </xf>
    <xf numFmtId="0" fontId="0" fillId="0" borderId="40" xfId="0" applyBorder="1"/>
    <xf numFmtId="0" fontId="0" fillId="0" borderId="40" xfId="0" applyBorder="1" applyAlignment="1">
      <alignment horizontal="center"/>
    </xf>
    <xf numFmtId="44" fontId="0" fillId="0" borderId="18" xfId="1" applyFont="1" applyFill="1" applyBorder="1" applyAlignment="1">
      <alignment horizontal="left" vertical="center"/>
    </xf>
    <xf numFmtId="0" fontId="0" fillId="7" borderId="19" xfId="0" applyFill="1" applyBorder="1"/>
    <xf numFmtId="44" fontId="0" fillId="0" borderId="39" xfId="0" applyNumberFormat="1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49" fontId="0" fillId="0" borderId="40" xfId="1" applyNumberFormat="1" applyFont="1" applyFill="1" applyBorder="1" applyAlignment="1">
      <alignment horizontal="left" vertical="center"/>
    </xf>
    <xf numFmtId="0" fontId="0" fillId="7" borderId="41" xfId="0" applyFill="1" applyBorder="1"/>
    <xf numFmtId="15" fontId="0" fillId="0" borderId="29" xfId="0" applyNumberFormat="1" applyBorder="1" applyAlignment="1">
      <alignment horizontal="center" vertical="center" wrapText="1"/>
    </xf>
    <xf numFmtId="44" fontId="0" fillId="0" borderId="8" xfId="1" applyFont="1" applyBorder="1"/>
    <xf numFmtId="15" fontId="0" fillId="0" borderId="45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5" fontId="0" fillId="0" borderId="18" xfId="0" applyNumberFormat="1" applyBorder="1" applyAlignment="1">
      <alignment horizontal="left" vertical="center"/>
    </xf>
    <xf numFmtId="0" fontId="0" fillId="0" borderId="23" xfId="0" applyBorder="1" applyAlignment="1">
      <alignment horizontal="left"/>
    </xf>
    <xf numFmtId="15" fontId="0" fillId="0" borderId="36" xfId="0" applyNumberFormat="1" applyBorder="1" applyAlignment="1">
      <alignment horizontal="left" vertical="center"/>
    </xf>
    <xf numFmtId="15" fontId="0" fillId="0" borderId="8" xfId="0" applyNumberFormat="1" applyBorder="1" applyAlignment="1">
      <alignment horizontal="left" vertical="center"/>
    </xf>
    <xf numFmtId="15" fontId="0" fillId="0" borderId="40" xfId="0" applyNumberFormat="1" applyBorder="1" applyAlignment="1">
      <alignment horizontal="left" vertical="center"/>
    </xf>
    <xf numFmtId="15" fontId="0" fillId="0" borderId="23" xfId="0" applyNumberFormat="1" applyBorder="1" applyAlignment="1">
      <alignment horizontal="left" vertical="center"/>
    </xf>
    <xf numFmtId="15" fontId="0" fillId="0" borderId="18" xfId="0" applyNumberFormat="1" applyBorder="1" applyAlignment="1">
      <alignment horizontal="left" vertical="center" wrapText="1"/>
    </xf>
    <xf numFmtId="0" fontId="0" fillId="0" borderId="8" xfId="0" applyBorder="1" applyAlignment="1">
      <alignment horizontal="left"/>
    </xf>
    <xf numFmtId="15" fontId="0" fillId="0" borderId="8" xfId="0" applyNumberFormat="1" applyBorder="1" applyAlignment="1">
      <alignment horizontal="left" vertical="center" wrapText="1"/>
    </xf>
    <xf numFmtId="15" fontId="0" fillId="0" borderId="19" xfId="0" applyNumberFormat="1" applyBorder="1" applyAlignment="1">
      <alignment horizontal="left" vertical="center" wrapText="1"/>
    </xf>
    <xf numFmtId="0" fontId="0" fillId="0" borderId="24" xfId="0" applyBorder="1" applyAlignment="1">
      <alignment horizontal="left"/>
    </xf>
    <xf numFmtId="15" fontId="0" fillId="0" borderId="26" xfId="0" applyNumberFormat="1" applyBorder="1" applyAlignment="1">
      <alignment horizontal="left" vertical="center" wrapText="1"/>
    </xf>
    <xf numFmtId="15" fontId="0" fillId="0" borderId="26" xfId="0" applyNumberFormat="1" applyBorder="1" applyAlignment="1">
      <alignment horizontal="left" vertical="center"/>
    </xf>
    <xf numFmtId="15" fontId="0" fillId="0" borderId="27" xfId="0" applyNumberFormat="1" applyBorder="1" applyAlignment="1">
      <alignment horizontal="left" vertical="center" wrapText="1"/>
    </xf>
    <xf numFmtId="0" fontId="0" fillId="0" borderId="40" xfId="0" applyBorder="1" applyAlignment="1">
      <alignment horizontal="left"/>
    </xf>
    <xf numFmtId="0" fontId="0" fillId="0" borderId="46" xfId="0" applyBorder="1" applyAlignment="1">
      <alignment horizontal="center" vertical="center"/>
    </xf>
    <xf numFmtId="0" fontId="0" fillId="0" borderId="31" xfId="0" applyBorder="1"/>
    <xf numFmtId="0" fontId="0" fillId="0" borderId="34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15" fontId="0" fillId="0" borderId="19" xfId="0" applyNumberFormat="1" applyBorder="1" applyAlignment="1">
      <alignment horizontal="left"/>
    </xf>
    <xf numFmtId="44" fontId="0" fillId="0" borderId="47" xfId="0" applyNumberFormat="1" applyBorder="1" applyAlignment="1">
      <alignment horizontal="center" vertical="center"/>
    </xf>
    <xf numFmtId="0" fontId="0" fillId="0" borderId="47" xfId="0" applyBorder="1" applyAlignment="1">
      <alignment horizontal="left" vertical="center" wrapText="1"/>
    </xf>
    <xf numFmtId="49" fontId="0" fillId="0" borderId="47" xfId="1" applyNumberFormat="1" applyFont="1" applyBorder="1" applyAlignment="1">
      <alignment horizontal="center" vertical="center"/>
    </xf>
    <xf numFmtId="15" fontId="0" fillId="0" borderId="47" xfId="0" applyNumberFormat="1" applyBorder="1" applyAlignment="1">
      <alignment horizontal="center" vertical="center"/>
    </xf>
    <xf numFmtId="44" fontId="0" fillId="0" borderId="48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49" fontId="0" fillId="0" borderId="48" xfId="1" applyNumberFormat="1" applyFont="1" applyBorder="1" applyAlignment="1">
      <alignment horizontal="center" vertical="center" wrapText="1"/>
    </xf>
    <xf numFmtId="15" fontId="0" fillId="0" borderId="48" xfId="0" applyNumberFormat="1" applyBorder="1" applyAlignment="1">
      <alignment horizontal="center" vertical="center" wrapText="1"/>
    </xf>
    <xf numFmtId="44" fontId="0" fillId="0" borderId="4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49" fontId="0" fillId="0" borderId="49" xfId="1" applyNumberFormat="1" applyFont="1" applyFill="1" applyBorder="1" applyAlignment="1">
      <alignment horizontal="center" vertical="center" wrapText="1"/>
    </xf>
    <xf numFmtId="15" fontId="0" fillId="0" borderId="49" xfId="0" applyNumberFormat="1" applyBorder="1" applyAlignment="1">
      <alignment horizontal="center" vertical="center" wrapText="1"/>
    </xf>
    <xf numFmtId="44" fontId="0" fillId="0" borderId="50" xfId="0" applyNumberFormat="1" applyBorder="1" applyAlignment="1">
      <alignment horizontal="center" vertical="center"/>
    </xf>
    <xf numFmtId="15" fontId="0" fillId="0" borderId="51" xfId="0" applyNumberFormat="1" applyBorder="1" applyAlignment="1">
      <alignment horizontal="left" vertical="center"/>
    </xf>
    <xf numFmtId="44" fontId="0" fillId="0" borderId="52" xfId="0" applyNumberFormat="1" applyBorder="1" applyAlignment="1">
      <alignment horizontal="center" vertical="center"/>
    </xf>
    <xf numFmtId="15" fontId="0" fillId="0" borderId="53" xfId="0" applyNumberFormat="1" applyBorder="1" applyAlignment="1">
      <alignment horizontal="left" vertical="center" wrapText="1"/>
    </xf>
    <xf numFmtId="44" fontId="0" fillId="0" borderId="54" xfId="0" applyNumberFormat="1" applyBorder="1" applyAlignment="1">
      <alignment horizontal="center" vertical="center"/>
    </xf>
    <xf numFmtId="15" fontId="0" fillId="0" borderId="55" xfId="0" applyNumberFormat="1" applyBorder="1" applyAlignment="1">
      <alignment horizontal="left" vertical="center" wrapText="1"/>
    </xf>
    <xf numFmtId="164" fontId="11" fillId="0" borderId="8" xfId="0" applyNumberFormat="1" applyFont="1" applyBorder="1" applyAlignment="1">
      <alignment horizontal="center" vertical="center" wrapText="1"/>
    </xf>
    <xf numFmtId="44" fontId="9" fillId="0" borderId="4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48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4" fontId="0" fillId="0" borderId="0" xfId="0" applyNumberFormat="1"/>
    <xf numFmtId="44" fontId="0" fillId="0" borderId="56" xfId="0" applyNumberFormat="1" applyBorder="1"/>
    <xf numFmtId="44" fontId="0" fillId="0" borderId="57" xfId="0" applyNumberFormat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49" fontId="0" fillId="0" borderId="57" xfId="1" applyNumberFormat="1" applyFont="1" applyFill="1" applyBorder="1" applyAlignment="1">
      <alignment horizontal="center" vertical="center"/>
    </xf>
    <xf numFmtId="15" fontId="0" fillId="0" borderId="57" xfId="0" applyNumberFormat="1" applyBorder="1" applyAlignment="1">
      <alignment horizontal="center" vertical="center"/>
    </xf>
    <xf numFmtId="15" fontId="0" fillId="0" borderId="58" xfId="0" applyNumberFormat="1" applyBorder="1" applyAlignment="1">
      <alignment horizontal="left" vertical="center"/>
    </xf>
    <xf numFmtId="44" fontId="0" fillId="0" borderId="59" xfId="0" applyNumberFormat="1" applyBorder="1" applyAlignment="1">
      <alignment horizontal="center" vertical="center"/>
    </xf>
    <xf numFmtId="44" fontId="0" fillId="0" borderId="60" xfId="0" applyNumberFormat="1" applyBorder="1" applyAlignment="1">
      <alignment horizontal="center" vertical="center"/>
    </xf>
    <xf numFmtId="0" fontId="0" fillId="0" borderId="60" xfId="0" applyBorder="1" applyAlignment="1">
      <alignment horizontal="left" vertical="center"/>
    </xf>
    <xf numFmtId="49" fontId="0" fillId="0" borderId="60" xfId="1" applyNumberFormat="1" applyFont="1" applyFill="1" applyBorder="1" applyAlignment="1">
      <alignment horizontal="center" vertical="center"/>
    </xf>
    <xf numFmtId="15" fontId="0" fillId="0" borderId="60" xfId="0" applyNumberFormat="1" applyBorder="1" applyAlignment="1">
      <alignment horizontal="center" vertical="center"/>
    </xf>
    <xf numFmtId="15" fontId="0" fillId="0" borderId="61" xfId="0" applyNumberFormat="1" applyBorder="1" applyAlignment="1">
      <alignment horizontal="left" vertical="center"/>
    </xf>
    <xf numFmtId="44" fontId="0" fillId="0" borderId="62" xfId="0" applyNumberFormat="1" applyBorder="1" applyAlignment="1">
      <alignment horizontal="center" vertical="center" wrapText="1"/>
    </xf>
    <xf numFmtId="44" fontId="0" fillId="0" borderId="63" xfId="0" applyNumberFormat="1" applyBorder="1" applyAlignment="1">
      <alignment horizontal="center" vertical="center"/>
    </xf>
    <xf numFmtId="0" fontId="0" fillId="0" borderId="63" xfId="0" applyBorder="1" applyAlignment="1">
      <alignment horizontal="center" vertical="center" wrapText="1"/>
    </xf>
    <xf numFmtId="49" fontId="0" fillId="0" borderId="63" xfId="1" applyNumberFormat="1" applyFont="1" applyFill="1" applyBorder="1" applyAlignment="1">
      <alignment horizontal="center" vertical="center"/>
    </xf>
    <xf numFmtId="15" fontId="0" fillId="0" borderId="63" xfId="0" applyNumberFormat="1" applyBorder="1" applyAlignment="1">
      <alignment horizontal="center" vertical="center" wrapText="1"/>
    </xf>
    <xf numFmtId="15" fontId="0" fillId="0" borderId="64" xfId="0" applyNumberFormat="1" applyBorder="1" applyAlignment="1">
      <alignment horizontal="left" vertical="center" wrapText="1"/>
    </xf>
    <xf numFmtId="8" fontId="0" fillId="0" borderId="0" xfId="0" applyNumberFormat="1"/>
    <xf numFmtId="44" fontId="0" fillId="0" borderId="0" xfId="1" applyFont="1"/>
    <xf numFmtId="44" fontId="3" fillId="9" borderId="9" xfId="0" applyNumberFormat="1" applyFont="1" applyFill="1" applyBorder="1" applyAlignment="1">
      <alignment horizontal="center" vertical="center"/>
    </xf>
    <xf numFmtId="44" fontId="3" fillId="9" borderId="6" xfId="0" applyNumberFormat="1" applyFont="1" applyFill="1" applyBorder="1" applyAlignment="1">
      <alignment horizontal="center" vertical="center"/>
    </xf>
    <xf numFmtId="44" fontId="11" fillId="0" borderId="9" xfId="0" applyNumberFormat="1" applyFont="1" applyBorder="1" applyAlignment="1">
      <alignment horizontal="center" vertical="center" wrapText="1"/>
    </xf>
    <xf numFmtId="44" fontId="11" fillId="0" borderId="6" xfId="0" applyNumberFormat="1" applyFont="1" applyBorder="1" applyAlignment="1">
      <alignment horizontal="center" vertical="center" wrapText="1"/>
    </xf>
    <xf numFmtId="44" fontId="0" fillId="0" borderId="1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44" fontId="0" fillId="0" borderId="23" xfId="0" applyNumberFormat="1" applyBorder="1" applyAlignment="1">
      <alignment horizontal="center" vertical="center"/>
    </xf>
    <xf numFmtId="0" fontId="0" fillId="12" borderId="18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2" borderId="23" xfId="0" applyFill="1" applyBorder="1" applyAlignment="1">
      <alignment horizontal="center" vertical="center" wrapText="1"/>
    </xf>
    <xf numFmtId="15" fontId="0" fillId="0" borderId="19" xfId="0" applyNumberFormat="1" applyBorder="1" applyAlignment="1">
      <alignment horizontal="center" vertical="center"/>
    </xf>
    <xf numFmtId="15" fontId="0" fillId="0" borderId="21" xfId="0" applyNumberFormat="1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15" fontId="0" fillId="0" borderId="41" xfId="0" applyNumberFormat="1" applyBorder="1" applyAlignment="1">
      <alignment horizontal="center" vertical="center"/>
    </xf>
    <xf numFmtId="44" fontId="0" fillId="0" borderId="40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44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0" fillId="0" borderId="4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5" fontId="0" fillId="7" borderId="19" xfId="0" applyNumberFormat="1" applyFill="1" applyBorder="1" applyAlignment="1">
      <alignment horizontal="center" vertical="center"/>
    </xf>
    <xf numFmtId="15" fontId="0" fillId="7" borderId="21" xfId="0" applyNumberFormat="1" applyFill="1" applyBorder="1" applyAlignment="1">
      <alignment horizontal="center" vertical="center"/>
    </xf>
    <xf numFmtId="15" fontId="0" fillId="7" borderId="24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15" fontId="0" fillId="0" borderId="19" xfId="0" applyNumberFormat="1" applyBorder="1" applyAlignment="1">
      <alignment horizontal="center" vertical="center" wrapText="1"/>
    </xf>
    <xf numFmtId="15" fontId="0" fillId="0" borderId="21" xfId="0" applyNumberForma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5" fontId="0" fillId="0" borderId="33" xfId="0" applyNumberFormat="1" applyBorder="1" applyAlignment="1">
      <alignment horizontal="center" vertical="center"/>
    </xf>
    <xf numFmtId="15" fontId="0" fillId="0" borderId="35" xfId="0" applyNumberFormat="1" applyBorder="1" applyAlignment="1">
      <alignment horizontal="center" vertical="center"/>
    </xf>
    <xf numFmtId="44" fontId="12" fillId="0" borderId="0" xfId="1" applyFont="1" applyBorder="1" applyAlignment="1">
      <alignment horizontal="center" vertical="center"/>
    </xf>
    <xf numFmtId="44" fontId="0" fillId="0" borderId="57" xfId="0" applyNumberFormat="1" applyBorder="1" applyAlignment="1">
      <alignment horizontal="center" vertical="center"/>
    </xf>
    <xf numFmtId="44" fontId="0" fillId="0" borderId="60" xfId="0" applyNumberFormat="1" applyBorder="1" applyAlignment="1">
      <alignment horizontal="center" vertical="center"/>
    </xf>
    <xf numFmtId="44" fontId="0" fillId="0" borderId="63" xfId="0" applyNumberFormat="1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15" fontId="0" fillId="0" borderId="30" xfId="0" applyNumberFormat="1" applyBorder="1" applyAlignment="1">
      <alignment horizontal="center" vertical="center"/>
    </xf>
    <xf numFmtId="15" fontId="0" fillId="0" borderId="32" xfId="0" applyNumberFormat="1" applyBorder="1" applyAlignment="1">
      <alignment horizontal="center" vertical="center"/>
    </xf>
    <xf numFmtId="44" fontId="0" fillId="0" borderId="47" xfId="0" applyNumberFormat="1" applyBorder="1" applyAlignment="1">
      <alignment horizontal="center" vertical="center"/>
    </xf>
    <xf numFmtId="44" fontId="0" fillId="0" borderId="48" xfId="0" applyNumberFormat="1" applyBorder="1" applyAlignment="1">
      <alignment horizontal="center" vertical="center"/>
    </xf>
    <xf numFmtId="44" fontId="0" fillId="0" borderId="49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64">
    <dxf>
      <font>
        <b/>
        <i val="0"/>
        <color rgb="FFFFC00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C000"/>
      </font>
      <fill>
        <patternFill>
          <bgColor theme="7" tint="0.59996337778862885"/>
        </patternFill>
      </fill>
    </dxf>
    <dxf>
      <font>
        <b/>
        <i val="0"/>
        <color rgb="FFFFC00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FFC00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000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C0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C00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C00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11D0-F300-49E2-924C-7310CF7C1D92}">
  <sheetPr filterMode="1">
    <pageSetUpPr fitToPage="1"/>
  </sheetPr>
  <dimension ref="A1:AD141"/>
  <sheetViews>
    <sheetView tabSelected="1" zoomScale="59" zoomScaleNormal="90" workbookViewId="0">
      <pane xSplit="10" ySplit="2" topLeftCell="K22" activePane="bottomRight" state="frozen"/>
      <selection pane="topRight" activeCell="K1" sqref="K1"/>
      <selection pane="bottomLeft" activeCell="A3" sqref="A3"/>
      <selection pane="bottomRight" activeCell="R28" sqref="R28"/>
    </sheetView>
  </sheetViews>
  <sheetFormatPr baseColWidth="10" defaultColWidth="11.53125" defaultRowHeight="14.25" outlineLevelCol="2" x14ac:dyDescent="0.45"/>
  <cols>
    <col min="1" max="1" width="5.796875" style="43" bestFit="1" customWidth="1"/>
    <col min="2" max="2" width="11.19921875" style="42" customWidth="1" outlineLevel="1"/>
    <col min="3" max="4" width="15.73046875" style="47" customWidth="1" outlineLevel="1"/>
    <col min="5" max="5" width="15.73046875" style="40" hidden="1" customWidth="1" outlineLevel="2"/>
    <col min="6" max="6" width="15.73046875" style="48" customWidth="1"/>
    <col min="7" max="8" width="11.796875" style="40" hidden="1" customWidth="1" outlineLevel="1"/>
    <col min="9" max="9" width="14.06640625" style="39" hidden="1" customWidth="1" outlineLevel="1"/>
    <col min="10" max="10" width="14.53125" style="39" hidden="1" customWidth="1" outlineLevel="1"/>
    <col min="11" max="11" width="20.19921875" style="43" customWidth="1" collapsed="1"/>
    <col min="12" max="12" width="41.265625" style="45" customWidth="1"/>
    <col min="13" max="13" width="36.796875" style="46" customWidth="1" outlineLevel="2"/>
    <col min="14" max="14" width="31.46484375" style="49" customWidth="1" outlineLevel="2"/>
    <col min="15" max="15" width="13.19921875" style="42" customWidth="1" outlineLevel="1"/>
    <col min="16" max="16" width="13.59765625" style="42" customWidth="1"/>
    <col min="17" max="17" width="10.73046875" style="42" customWidth="1"/>
    <col min="18" max="18" width="13.9296875" style="42" customWidth="1"/>
    <col min="19" max="19" width="74.53125" style="43" customWidth="1" outlineLevel="1"/>
    <col min="20" max="20" width="13.19921875" style="43" customWidth="1"/>
    <col min="21" max="21" width="13.06640625" style="43" bestFit="1" customWidth="1"/>
    <col min="22" max="22" width="13.796875" style="50" customWidth="1"/>
    <col min="23" max="24" width="13.53125" style="50" customWidth="1"/>
    <col min="25" max="25" width="11.53125" style="43"/>
    <col min="26" max="27" width="12.265625" style="43" bestFit="1" customWidth="1"/>
    <col min="28" max="16384" width="11.53125" style="43"/>
  </cols>
  <sheetData>
    <row r="1" spans="1:27" s="14" customFormat="1" ht="44.25" customHeight="1" thickBot="1" x14ac:dyDescent="0.5">
      <c r="A1" s="1" t="s">
        <v>10</v>
      </c>
      <c r="B1" s="64" t="s">
        <v>330</v>
      </c>
      <c r="C1" s="3" t="s">
        <v>1</v>
      </c>
      <c r="D1" s="3"/>
      <c r="E1" s="4"/>
      <c r="F1" s="3"/>
      <c r="G1" s="5" t="s">
        <v>2</v>
      </c>
      <c r="H1" s="5"/>
      <c r="I1" s="5"/>
      <c r="J1" s="5" t="s">
        <v>3</v>
      </c>
      <c r="K1" s="6" t="s">
        <v>58</v>
      </c>
      <c r="L1" s="7" t="s">
        <v>4</v>
      </c>
      <c r="M1" s="8" t="s">
        <v>5</v>
      </c>
      <c r="N1" s="27" t="s">
        <v>17</v>
      </c>
      <c r="O1" s="2">
        <v>45309</v>
      </c>
      <c r="P1" s="2" t="s">
        <v>6</v>
      </c>
      <c r="Q1" s="10" t="s">
        <v>7</v>
      </c>
      <c r="R1" s="11" t="s">
        <v>8</v>
      </c>
      <c r="S1" s="12" t="s">
        <v>9</v>
      </c>
      <c r="T1" s="13">
        <f ca="1">TODAY()</f>
        <v>46122</v>
      </c>
      <c r="V1" s="15"/>
      <c r="W1" s="15"/>
      <c r="X1" s="15"/>
    </row>
    <row r="2" spans="1:27" s="14" customFormat="1" ht="23.65" thickBot="1" x14ac:dyDescent="0.5">
      <c r="A2" s="16" t="s">
        <v>10</v>
      </c>
      <c r="B2" s="17">
        <f>COUNTA(A3:A126)</f>
        <v>116</v>
      </c>
      <c r="C2" s="18" t="s">
        <v>11</v>
      </c>
      <c r="D2" s="19" t="s">
        <v>12</v>
      </c>
      <c r="E2" s="20" t="s">
        <v>13</v>
      </c>
      <c r="F2" s="21" t="s">
        <v>14</v>
      </c>
      <c r="G2" s="22" t="s">
        <v>15</v>
      </c>
      <c r="H2" s="22" t="s">
        <v>12</v>
      </c>
      <c r="I2" s="22" t="s">
        <v>14</v>
      </c>
      <c r="J2" s="23"/>
      <c r="K2" s="24"/>
      <c r="L2" s="25"/>
      <c r="M2" s="26"/>
      <c r="N2" s="27"/>
      <c r="O2" s="28"/>
      <c r="P2" s="28" t="s">
        <v>18</v>
      </c>
      <c r="Q2" s="29" t="s">
        <v>19</v>
      </c>
      <c r="R2" s="30" t="s">
        <v>20</v>
      </c>
      <c r="S2" s="31"/>
      <c r="T2" s="14" t="s">
        <v>21</v>
      </c>
      <c r="U2" s="14" t="s">
        <v>22</v>
      </c>
      <c r="V2" s="15" t="s">
        <v>23</v>
      </c>
      <c r="W2" s="15" t="s">
        <v>12</v>
      </c>
      <c r="X2" s="15" t="s">
        <v>24</v>
      </c>
      <c r="Y2" s="14" t="s">
        <v>25</v>
      </c>
      <c r="Z2" s="14" t="s">
        <v>26</v>
      </c>
      <c r="AA2" s="14" t="s">
        <v>27</v>
      </c>
    </row>
    <row r="3" spans="1:27" ht="14.65" hidden="1" customHeight="1" x14ac:dyDescent="0.45">
      <c r="A3" s="104">
        <v>2215</v>
      </c>
      <c r="B3" s="105">
        <v>46027</v>
      </c>
      <c r="C3" s="106">
        <v>50000</v>
      </c>
      <c r="D3" s="106">
        <f t="shared" ref="D3:D124" si="0">+C3*0.16</f>
        <v>8000</v>
      </c>
      <c r="E3" s="107"/>
      <c r="F3" s="106">
        <f t="shared" ref="F3:F124" si="1">+C3+D3</f>
        <v>58000</v>
      </c>
      <c r="G3" s="107"/>
      <c r="H3" s="107"/>
      <c r="I3" s="32"/>
      <c r="J3" s="32"/>
      <c r="K3" s="104" t="s">
        <v>32</v>
      </c>
      <c r="L3" s="108" t="s">
        <v>33</v>
      </c>
      <c r="M3" s="108" t="s">
        <v>30</v>
      </c>
      <c r="N3" s="38" t="s">
        <v>44</v>
      </c>
      <c r="O3" s="105">
        <v>46027</v>
      </c>
      <c r="P3" s="105">
        <v>46042</v>
      </c>
      <c r="Q3" s="42" t="str">
        <f t="shared" ref="Q3:Q124" ca="1" si="2">IF(AND(R3&lt;&gt;"",P3&lt;$T$1),"PAGADO","ON TRACK")</f>
        <v>PAGADO</v>
      </c>
      <c r="R3" s="42">
        <v>46052</v>
      </c>
      <c r="S3" s="34"/>
      <c r="V3" s="44"/>
      <c r="W3" s="44"/>
      <c r="X3" s="44"/>
    </row>
    <row r="4" spans="1:27" ht="14.65" hidden="1" customHeight="1" x14ac:dyDescent="0.45">
      <c r="A4" s="104">
        <v>2216</v>
      </c>
      <c r="B4" s="105">
        <v>46027</v>
      </c>
      <c r="C4" s="106"/>
      <c r="D4" s="106">
        <f t="shared" si="0"/>
        <v>0</v>
      </c>
      <c r="E4" s="107"/>
      <c r="F4" s="106">
        <f t="shared" si="1"/>
        <v>0</v>
      </c>
      <c r="G4" s="107">
        <v>6000</v>
      </c>
      <c r="H4" s="107">
        <f>G4*0.16</f>
        <v>960</v>
      </c>
      <c r="I4" s="32">
        <f>G4+H4</f>
        <v>6960</v>
      </c>
      <c r="J4" s="41">
        <v>18.001200000000001</v>
      </c>
      <c r="K4" s="104" t="s">
        <v>31</v>
      </c>
      <c r="L4" s="108" t="s">
        <v>38</v>
      </c>
      <c r="M4" s="108" t="s">
        <v>45</v>
      </c>
      <c r="N4" s="38" t="s">
        <v>36</v>
      </c>
      <c r="O4" s="105">
        <v>46027</v>
      </c>
      <c r="P4" s="105">
        <v>46042</v>
      </c>
      <c r="Q4" s="42" t="str">
        <f t="shared" ca="1" si="2"/>
        <v>PAGADO</v>
      </c>
      <c r="R4" s="42">
        <v>46057</v>
      </c>
      <c r="S4" s="34"/>
      <c r="V4" s="44"/>
      <c r="W4" s="44"/>
      <c r="X4" s="44"/>
    </row>
    <row r="5" spans="1:27" ht="14.65" hidden="1" customHeight="1" x14ac:dyDescent="0.45">
      <c r="A5" s="104">
        <v>2217</v>
      </c>
      <c r="B5" s="105">
        <v>46027</v>
      </c>
      <c r="C5" s="106">
        <v>504000</v>
      </c>
      <c r="D5" s="106">
        <f t="shared" si="0"/>
        <v>80640</v>
      </c>
      <c r="E5" s="107"/>
      <c r="F5" s="106">
        <f t="shared" si="1"/>
        <v>584640</v>
      </c>
      <c r="G5" s="107"/>
      <c r="H5" s="107"/>
      <c r="I5" s="32"/>
      <c r="J5" s="32"/>
      <c r="K5" s="104" t="s">
        <v>39</v>
      </c>
      <c r="L5" s="108" t="s">
        <v>40</v>
      </c>
      <c r="M5" s="109" t="s">
        <v>46</v>
      </c>
      <c r="N5" s="38" t="s">
        <v>44</v>
      </c>
      <c r="O5" s="105">
        <v>46027</v>
      </c>
      <c r="P5" s="105">
        <v>46042</v>
      </c>
      <c r="Q5" s="42" t="str">
        <f t="shared" ca="1" si="2"/>
        <v>PAGADO</v>
      </c>
      <c r="R5" s="42">
        <v>46030</v>
      </c>
      <c r="S5" s="34"/>
      <c r="V5" s="44"/>
      <c r="W5" s="44"/>
      <c r="X5" s="44"/>
    </row>
    <row r="6" spans="1:27" ht="14.65" hidden="1" customHeight="1" x14ac:dyDescent="0.45">
      <c r="A6" s="104">
        <v>2218</v>
      </c>
      <c r="B6" s="105">
        <v>46027</v>
      </c>
      <c r="C6" s="106">
        <v>90000</v>
      </c>
      <c r="D6" s="106">
        <f t="shared" si="0"/>
        <v>14400</v>
      </c>
      <c r="E6" s="107"/>
      <c r="F6" s="106">
        <f t="shared" si="1"/>
        <v>104400</v>
      </c>
      <c r="G6" s="107"/>
      <c r="H6" s="107"/>
      <c r="I6" s="32"/>
      <c r="J6" s="32"/>
      <c r="K6" s="104" t="s">
        <v>37</v>
      </c>
      <c r="L6" s="109" t="s">
        <v>41</v>
      </c>
      <c r="M6" s="109" t="s">
        <v>47</v>
      </c>
      <c r="N6" s="36" t="s">
        <v>48</v>
      </c>
      <c r="O6" s="105">
        <v>46027</v>
      </c>
      <c r="P6" s="105">
        <v>46042</v>
      </c>
      <c r="Q6" s="42" t="str">
        <f t="shared" ca="1" si="2"/>
        <v>PAGADO</v>
      </c>
      <c r="R6" s="42">
        <v>46076</v>
      </c>
      <c r="S6" s="34"/>
      <c r="V6" s="44"/>
      <c r="W6" s="44"/>
      <c r="X6" s="44"/>
    </row>
    <row r="7" spans="1:27" ht="14.65" hidden="1" customHeight="1" x14ac:dyDescent="0.45">
      <c r="A7" s="104">
        <v>2219</v>
      </c>
      <c r="B7" s="105">
        <v>46027</v>
      </c>
      <c r="C7" s="106">
        <v>175000</v>
      </c>
      <c r="D7" s="106">
        <f t="shared" si="0"/>
        <v>28000</v>
      </c>
      <c r="E7" s="107"/>
      <c r="F7" s="106">
        <f t="shared" si="1"/>
        <v>203000</v>
      </c>
      <c r="G7" s="107"/>
      <c r="H7" s="107"/>
      <c r="I7" s="32"/>
      <c r="J7" s="32"/>
      <c r="K7" s="104" t="s">
        <v>37</v>
      </c>
      <c r="L7" s="109" t="s">
        <v>49</v>
      </c>
      <c r="M7" s="109" t="s">
        <v>50</v>
      </c>
      <c r="N7" s="36" t="s">
        <v>51</v>
      </c>
      <c r="O7" s="105">
        <v>46027</v>
      </c>
      <c r="P7" s="105">
        <v>46042</v>
      </c>
      <c r="Q7" s="42" t="str">
        <f t="shared" ca="1" si="2"/>
        <v>PAGADO</v>
      </c>
      <c r="R7" s="42">
        <v>46076</v>
      </c>
      <c r="S7" s="34"/>
      <c r="V7" s="44"/>
      <c r="W7" s="44"/>
      <c r="X7" s="44"/>
    </row>
    <row r="8" spans="1:27" ht="14.65" hidden="1" customHeight="1" x14ac:dyDescent="0.45">
      <c r="A8" s="104">
        <v>2220</v>
      </c>
      <c r="B8" s="105">
        <v>46027</v>
      </c>
      <c r="C8" s="106">
        <v>105000</v>
      </c>
      <c r="D8" s="106">
        <f t="shared" si="0"/>
        <v>16800</v>
      </c>
      <c r="E8" s="107"/>
      <c r="F8" s="106">
        <f t="shared" si="1"/>
        <v>121800</v>
      </c>
      <c r="G8" s="107"/>
      <c r="H8" s="107"/>
      <c r="I8" s="32"/>
      <c r="J8" s="32"/>
      <c r="K8" s="104" t="s">
        <v>37</v>
      </c>
      <c r="L8" s="109" t="s">
        <v>41</v>
      </c>
      <c r="M8" s="109" t="s">
        <v>52</v>
      </c>
      <c r="N8" s="36" t="s">
        <v>42</v>
      </c>
      <c r="O8" s="105">
        <v>46027</v>
      </c>
      <c r="P8" s="105">
        <v>46042</v>
      </c>
      <c r="Q8" s="42" t="str">
        <f t="shared" ca="1" si="2"/>
        <v>PAGADO</v>
      </c>
      <c r="R8" s="42">
        <v>46072</v>
      </c>
      <c r="S8" s="34"/>
      <c r="T8" s="264">
        <v>46083</v>
      </c>
      <c r="V8" s="44"/>
      <c r="W8" s="44"/>
      <c r="X8" s="44"/>
    </row>
    <row r="9" spans="1:27" ht="14.65" hidden="1" customHeight="1" x14ac:dyDescent="0.45">
      <c r="A9" s="104">
        <v>2221</v>
      </c>
      <c r="B9" s="105">
        <v>46027</v>
      </c>
      <c r="C9" s="106">
        <v>58000</v>
      </c>
      <c r="D9" s="106">
        <f t="shared" si="0"/>
        <v>9280</v>
      </c>
      <c r="E9" s="107"/>
      <c r="F9" s="106">
        <f t="shared" si="1"/>
        <v>67280</v>
      </c>
      <c r="G9" s="107"/>
      <c r="H9" s="107"/>
      <c r="I9" s="32"/>
      <c r="J9" s="32"/>
      <c r="K9" s="104" t="s">
        <v>37</v>
      </c>
      <c r="L9" s="109" t="s">
        <v>41</v>
      </c>
      <c r="M9" s="109" t="s">
        <v>53</v>
      </c>
      <c r="N9" s="37" t="s">
        <v>54</v>
      </c>
      <c r="O9" s="105">
        <v>46027</v>
      </c>
      <c r="P9" s="105">
        <v>46042</v>
      </c>
      <c r="Q9" s="42" t="str">
        <f t="shared" ca="1" si="2"/>
        <v>PAGADO</v>
      </c>
      <c r="R9" s="42" t="str">
        <f t="shared" ref="R9:R124" ca="1" si="3">IF(P9&gt;(TODAY()),"","REVISIÓN")</f>
        <v>REVISIÓN</v>
      </c>
      <c r="S9" s="34"/>
      <c r="V9" s="44"/>
      <c r="W9" s="44"/>
      <c r="X9" s="44"/>
    </row>
    <row r="10" spans="1:27" ht="14.65" hidden="1" customHeight="1" x14ac:dyDescent="0.45">
      <c r="A10" s="104">
        <v>2222</v>
      </c>
      <c r="B10" s="105">
        <v>46027</v>
      </c>
      <c r="C10" s="106">
        <v>40876.1</v>
      </c>
      <c r="D10" s="106">
        <f t="shared" si="0"/>
        <v>6540.1759999999995</v>
      </c>
      <c r="E10" s="107"/>
      <c r="F10" s="106">
        <f t="shared" si="1"/>
        <v>47416.275999999998</v>
      </c>
      <c r="G10" s="107"/>
      <c r="H10" s="107"/>
      <c r="I10" s="32"/>
      <c r="J10" s="32"/>
      <c r="K10" s="104" t="s">
        <v>37</v>
      </c>
      <c r="L10" s="109" t="s">
        <v>41</v>
      </c>
      <c r="M10" s="109" t="s">
        <v>43</v>
      </c>
      <c r="N10" s="36" t="s">
        <v>55</v>
      </c>
      <c r="O10" s="105">
        <v>46027</v>
      </c>
      <c r="P10" s="105">
        <v>46042</v>
      </c>
      <c r="Q10" s="42" t="str">
        <f t="shared" ca="1" si="2"/>
        <v>PAGADO</v>
      </c>
      <c r="R10" s="42" t="str">
        <f t="shared" ca="1" si="3"/>
        <v>REVISIÓN</v>
      </c>
      <c r="S10" s="34"/>
      <c r="V10" s="44"/>
      <c r="W10" s="44"/>
      <c r="X10" s="44"/>
    </row>
    <row r="11" spans="1:27" ht="14.65" hidden="1" customHeight="1" x14ac:dyDescent="0.45">
      <c r="A11" s="104">
        <v>2223</v>
      </c>
      <c r="B11" s="105">
        <v>46031</v>
      </c>
      <c r="C11" s="106">
        <v>391235.04</v>
      </c>
      <c r="D11" s="106">
        <f t="shared" si="0"/>
        <v>62597.606399999997</v>
      </c>
      <c r="E11" s="107"/>
      <c r="F11" s="106">
        <f t="shared" si="1"/>
        <v>453832.64639999997</v>
      </c>
      <c r="G11" s="107"/>
      <c r="H11" s="107"/>
      <c r="I11" s="32"/>
      <c r="J11" s="32"/>
      <c r="K11" s="104" t="s">
        <v>67</v>
      </c>
      <c r="L11" s="109" t="s">
        <v>68</v>
      </c>
      <c r="M11" s="109" t="s">
        <v>69</v>
      </c>
      <c r="N11" s="36" t="s">
        <v>44</v>
      </c>
      <c r="O11" s="105">
        <v>46031</v>
      </c>
      <c r="P11" s="105">
        <v>46046</v>
      </c>
      <c r="Q11" s="42" t="str">
        <f t="shared" ca="1" si="2"/>
        <v>PAGADO</v>
      </c>
      <c r="R11" s="42">
        <v>46049</v>
      </c>
      <c r="S11" s="34"/>
      <c r="V11" s="44"/>
      <c r="W11" s="44"/>
      <c r="X11" s="44"/>
    </row>
    <row r="12" spans="1:27" ht="14.65" hidden="1" customHeight="1" x14ac:dyDescent="0.45">
      <c r="A12" s="104">
        <v>2224</v>
      </c>
      <c r="B12" s="105">
        <v>46031</v>
      </c>
      <c r="C12" s="106"/>
      <c r="D12" s="106"/>
      <c r="E12" s="107"/>
      <c r="F12" s="106"/>
      <c r="G12" s="107" t="s">
        <v>112</v>
      </c>
      <c r="H12" s="107" t="s">
        <v>162</v>
      </c>
      <c r="I12" s="107" t="s">
        <v>112</v>
      </c>
      <c r="J12" s="110">
        <v>18.408200000000001</v>
      </c>
      <c r="K12" s="104" t="s">
        <v>31</v>
      </c>
      <c r="L12" s="108" t="s">
        <v>70</v>
      </c>
      <c r="M12" s="108" t="s">
        <v>71</v>
      </c>
      <c r="N12" s="38" t="s">
        <v>72</v>
      </c>
      <c r="O12" s="105">
        <v>46031</v>
      </c>
      <c r="P12" s="32">
        <v>18811.599999999999</v>
      </c>
      <c r="Q12" s="42" t="s">
        <v>112</v>
      </c>
      <c r="R12" s="42" t="s">
        <v>112</v>
      </c>
      <c r="S12" s="34"/>
      <c r="V12" s="44"/>
      <c r="W12" s="44"/>
      <c r="X12" s="44"/>
    </row>
    <row r="13" spans="1:27" ht="14.65" hidden="1" customHeight="1" x14ac:dyDescent="0.45">
      <c r="A13" s="104">
        <v>2225</v>
      </c>
      <c r="B13" s="105">
        <v>46031</v>
      </c>
      <c r="C13" s="106">
        <v>160000</v>
      </c>
      <c r="D13" s="106"/>
      <c r="E13" s="107"/>
      <c r="F13" s="106">
        <f t="shared" si="1"/>
        <v>160000</v>
      </c>
      <c r="G13" s="107"/>
      <c r="H13" s="107"/>
      <c r="I13" s="32"/>
      <c r="J13" s="32"/>
      <c r="K13" s="104" t="s">
        <v>31</v>
      </c>
      <c r="L13" s="108" t="s">
        <v>73</v>
      </c>
      <c r="M13" s="108" t="s">
        <v>92</v>
      </c>
      <c r="N13" s="38" t="s">
        <v>91</v>
      </c>
      <c r="O13" s="105">
        <v>46031</v>
      </c>
      <c r="P13" s="105">
        <v>46046</v>
      </c>
      <c r="Q13" s="42" t="str">
        <f t="shared" ca="1" si="2"/>
        <v>PAGADO</v>
      </c>
      <c r="R13" s="42">
        <v>46057</v>
      </c>
      <c r="S13" s="34"/>
      <c r="V13" s="44"/>
      <c r="W13" s="44"/>
      <c r="X13" s="44"/>
    </row>
    <row r="14" spans="1:27" ht="14.65" hidden="1" customHeight="1" x14ac:dyDescent="0.45">
      <c r="A14" s="104">
        <v>2226</v>
      </c>
      <c r="B14" s="105">
        <v>46035</v>
      </c>
      <c r="C14" s="106">
        <v>105000</v>
      </c>
      <c r="D14" s="106">
        <f t="shared" si="0"/>
        <v>16800</v>
      </c>
      <c r="E14" s="107"/>
      <c r="F14" s="106">
        <f t="shared" si="1"/>
        <v>121800</v>
      </c>
      <c r="G14" s="107"/>
      <c r="H14" s="107"/>
      <c r="I14" s="32"/>
      <c r="J14" s="32"/>
      <c r="K14" s="104" t="s">
        <v>37</v>
      </c>
      <c r="L14" s="109" t="s">
        <v>74</v>
      </c>
      <c r="M14" s="109" t="s">
        <v>75</v>
      </c>
      <c r="N14" s="36" t="s">
        <v>76</v>
      </c>
      <c r="O14" s="105">
        <v>46035</v>
      </c>
      <c r="P14" s="105">
        <v>46050</v>
      </c>
      <c r="Q14" s="42" t="str">
        <f t="shared" ca="1" si="2"/>
        <v>PAGADO</v>
      </c>
      <c r="R14" s="42">
        <v>46091</v>
      </c>
      <c r="S14" s="34"/>
      <c r="V14" s="44"/>
      <c r="W14" s="44"/>
      <c r="X14" s="44"/>
    </row>
    <row r="15" spans="1:27" ht="14.65" hidden="1" customHeight="1" x14ac:dyDescent="0.45">
      <c r="A15" s="104">
        <v>2227</v>
      </c>
      <c r="B15" s="105">
        <v>46036</v>
      </c>
      <c r="C15" s="106"/>
      <c r="D15" s="106"/>
      <c r="E15" s="107"/>
      <c r="F15" s="106"/>
      <c r="G15" s="107">
        <v>12337</v>
      </c>
      <c r="H15" s="107">
        <f>G15*0.16</f>
        <v>1973.92</v>
      </c>
      <c r="I15" s="32">
        <f>G15+H15</f>
        <v>14310.92</v>
      </c>
      <c r="J15" s="110" t="s">
        <v>77</v>
      </c>
      <c r="K15" s="104" t="s">
        <v>31</v>
      </c>
      <c r="L15" s="108" t="s">
        <v>70</v>
      </c>
      <c r="M15" s="108" t="s">
        <v>78</v>
      </c>
      <c r="N15" s="36" t="s">
        <v>72</v>
      </c>
      <c r="O15" s="105">
        <v>46036</v>
      </c>
      <c r="P15" s="105">
        <v>46066</v>
      </c>
      <c r="Q15" s="42" t="s">
        <v>161</v>
      </c>
      <c r="R15" s="42">
        <v>46063</v>
      </c>
      <c r="S15" s="34" t="s">
        <v>160</v>
      </c>
      <c r="V15" s="44"/>
      <c r="W15" s="44"/>
      <c r="X15" s="44"/>
    </row>
    <row r="16" spans="1:27" ht="14.65" hidden="1" customHeight="1" x14ac:dyDescent="0.45">
      <c r="A16" s="104">
        <v>2228</v>
      </c>
      <c r="B16" s="105">
        <v>46036</v>
      </c>
      <c r="C16" s="106">
        <v>85000</v>
      </c>
      <c r="D16" s="106">
        <f t="shared" si="0"/>
        <v>13600</v>
      </c>
      <c r="E16" s="107"/>
      <c r="F16" s="106">
        <f t="shared" si="1"/>
        <v>98600</v>
      </c>
      <c r="G16" s="107"/>
      <c r="H16" s="107"/>
      <c r="I16" s="32"/>
      <c r="J16" s="32">
        <v>14265.92</v>
      </c>
      <c r="K16" s="104" t="s">
        <v>37</v>
      </c>
      <c r="L16" s="109" t="s">
        <v>49</v>
      </c>
      <c r="M16" s="109" t="s">
        <v>79</v>
      </c>
      <c r="N16" s="38" t="s">
        <v>80</v>
      </c>
      <c r="O16" s="105">
        <v>46036</v>
      </c>
      <c r="P16" s="105">
        <v>46051</v>
      </c>
      <c r="Q16" s="42" t="str">
        <f t="shared" ca="1" si="2"/>
        <v>PAGADO</v>
      </c>
      <c r="R16" s="42">
        <v>46091</v>
      </c>
      <c r="S16" s="34"/>
      <c r="V16" s="44"/>
      <c r="W16" s="44"/>
      <c r="X16" s="44"/>
    </row>
    <row r="17" spans="1:24" ht="14.65" hidden="1" customHeight="1" x14ac:dyDescent="0.45">
      <c r="A17" s="104">
        <v>2229</v>
      </c>
      <c r="B17" s="105">
        <v>46037</v>
      </c>
      <c r="C17" s="106">
        <v>40000</v>
      </c>
      <c r="D17" s="106">
        <f t="shared" si="0"/>
        <v>6400</v>
      </c>
      <c r="E17" s="107"/>
      <c r="F17" s="106">
        <f t="shared" si="1"/>
        <v>46400</v>
      </c>
      <c r="G17" s="107"/>
      <c r="H17" s="107"/>
      <c r="I17" s="32"/>
      <c r="J17" s="32"/>
      <c r="K17" s="104" t="s">
        <v>81</v>
      </c>
      <c r="L17" s="108" t="s">
        <v>82</v>
      </c>
      <c r="M17" s="102" t="s">
        <v>83</v>
      </c>
      <c r="N17" s="38" t="s">
        <v>84</v>
      </c>
      <c r="O17" s="105">
        <v>46037</v>
      </c>
      <c r="P17" s="105">
        <v>46051</v>
      </c>
      <c r="Q17" s="42" t="str">
        <f t="shared" ca="1" si="2"/>
        <v>PAGADO</v>
      </c>
      <c r="R17" s="42">
        <v>46079</v>
      </c>
      <c r="S17" s="34"/>
      <c r="V17" s="44"/>
      <c r="W17" s="44"/>
      <c r="X17" s="44"/>
    </row>
    <row r="18" spans="1:24" ht="14.65" hidden="1" customHeight="1" x14ac:dyDescent="0.45">
      <c r="A18" s="104">
        <v>2230</v>
      </c>
      <c r="B18" s="105">
        <v>46037</v>
      </c>
      <c r="C18" s="106">
        <v>110000</v>
      </c>
      <c r="D18" s="106">
        <f t="shared" si="0"/>
        <v>17600</v>
      </c>
      <c r="E18" s="107"/>
      <c r="F18" s="106">
        <f t="shared" si="1"/>
        <v>127600</v>
      </c>
      <c r="G18" s="107"/>
      <c r="H18" s="107"/>
      <c r="I18" s="32"/>
      <c r="J18" s="32"/>
      <c r="K18" s="104" t="s">
        <v>81</v>
      </c>
      <c r="L18" s="108" t="s">
        <v>82</v>
      </c>
      <c r="M18" s="109" t="s">
        <v>85</v>
      </c>
      <c r="N18" s="38" t="s">
        <v>86</v>
      </c>
      <c r="O18" s="105">
        <v>46037</v>
      </c>
      <c r="P18" s="105">
        <v>46052</v>
      </c>
      <c r="Q18" s="42" t="str">
        <f t="shared" ca="1" si="2"/>
        <v>PAGADO</v>
      </c>
      <c r="R18" s="42">
        <v>46079</v>
      </c>
      <c r="S18" s="34"/>
      <c r="V18" s="44"/>
      <c r="W18" s="44"/>
      <c r="X18" s="44"/>
    </row>
    <row r="19" spans="1:24" ht="14.65" hidden="1" customHeight="1" x14ac:dyDescent="0.45">
      <c r="A19" s="104">
        <v>2231</v>
      </c>
      <c r="B19" s="105">
        <v>46038</v>
      </c>
      <c r="C19" s="106">
        <v>85000</v>
      </c>
      <c r="D19" s="106">
        <f t="shared" si="0"/>
        <v>13600</v>
      </c>
      <c r="E19" s="107"/>
      <c r="F19" s="106">
        <f t="shared" si="1"/>
        <v>98600</v>
      </c>
      <c r="G19" s="107"/>
      <c r="H19" s="107"/>
      <c r="I19" s="32"/>
      <c r="J19" s="32"/>
      <c r="K19" s="104" t="s">
        <v>87</v>
      </c>
      <c r="L19" s="108" t="s">
        <v>88</v>
      </c>
      <c r="M19" s="109" t="s">
        <v>89</v>
      </c>
      <c r="N19" s="112" t="s">
        <v>90</v>
      </c>
      <c r="O19" s="105">
        <v>46038</v>
      </c>
      <c r="P19" s="105">
        <v>46053</v>
      </c>
      <c r="Q19" s="42" t="str">
        <f t="shared" ca="1" si="2"/>
        <v>PAGADO</v>
      </c>
      <c r="R19" s="42">
        <v>46052</v>
      </c>
      <c r="S19" s="34"/>
      <c r="V19" s="44"/>
      <c r="W19" s="44"/>
      <c r="X19" s="44"/>
    </row>
    <row r="20" spans="1:24" ht="14.65" hidden="1" customHeight="1" x14ac:dyDescent="0.45">
      <c r="A20" s="104">
        <v>2232</v>
      </c>
      <c r="B20" s="105">
        <v>46041</v>
      </c>
      <c r="C20" s="106">
        <v>13725</v>
      </c>
      <c r="D20" s="106">
        <f t="shared" si="0"/>
        <v>2196</v>
      </c>
      <c r="E20" s="107"/>
      <c r="F20" s="106">
        <f t="shared" si="1"/>
        <v>15921</v>
      </c>
      <c r="G20" s="107"/>
      <c r="H20" s="107"/>
      <c r="I20" s="32"/>
      <c r="J20" s="32"/>
      <c r="K20" s="104" t="s">
        <v>81</v>
      </c>
      <c r="L20" s="108" t="s">
        <v>82</v>
      </c>
      <c r="M20" s="109" t="s">
        <v>97</v>
      </c>
      <c r="N20" s="36" t="s">
        <v>98</v>
      </c>
      <c r="O20" s="105">
        <v>46041</v>
      </c>
      <c r="P20" s="105">
        <v>45692</v>
      </c>
      <c r="Q20" s="42" t="str">
        <f t="shared" ca="1" si="2"/>
        <v>PAGADO</v>
      </c>
      <c r="R20" s="42">
        <v>46071</v>
      </c>
      <c r="S20" s="34"/>
      <c r="V20" s="44"/>
      <c r="W20" s="44"/>
      <c r="X20" s="44"/>
    </row>
    <row r="21" spans="1:24" ht="14.65" hidden="1" customHeight="1" x14ac:dyDescent="0.45">
      <c r="A21" s="104">
        <v>2233</v>
      </c>
      <c r="B21" s="105">
        <v>46042</v>
      </c>
      <c r="C21" s="106">
        <v>100000</v>
      </c>
      <c r="D21" s="106">
        <f t="shared" si="0"/>
        <v>16000</v>
      </c>
      <c r="E21" s="107"/>
      <c r="F21" s="106">
        <f t="shared" si="1"/>
        <v>116000</v>
      </c>
      <c r="G21" s="107"/>
      <c r="H21" s="107"/>
      <c r="I21" s="32"/>
      <c r="J21" s="32"/>
      <c r="K21" s="104" t="s">
        <v>99</v>
      </c>
      <c r="L21" s="108" t="s">
        <v>100</v>
      </c>
      <c r="M21" s="108" t="s">
        <v>101</v>
      </c>
      <c r="N21" s="36" t="s">
        <v>102</v>
      </c>
      <c r="O21" s="105">
        <v>46042</v>
      </c>
      <c r="P21" s="105">
        <v>45694</v>
      </c>
      <c r="Q21" s="42" t="str">
        <f t="shared" ca="1" si="2"/>
        <v>PAGADO</v>
      </c>
      <c r="R21" s="42">
        <v>46050</v>
      </c>
      <c r="S21" s="34"/>
      <c r="V21" s="44"/>
      <c r="W21" s="44"/>
      <c r="X21" s="44"/>
    </row>
    <row r="22" spans="1:24" ht="14.65" customHeight="1" x14ac:dyDescent="0.45">
      <c r="A22" s="104">
        <v>2234</v>
      </c>
      <c r="B22" s="105">
        <v>46043</v>
      </c>
      <c r="C22" s="106">
        <v>198000</v>
      </c>
      <c r="D22" s="106">
        <f t="shared" si="0"/>
        <v>31680</v>
      </c>
      <c r="E22" s="107"/>
      <c r="F22" s="106">
        <f t="shared" si="1"/>
        <v>229680</v>
      </c>
      <c r="G22" s="107"/>
      <c r="H22" s="107"/>
      <c r="I22" s="32"/>
      <c r="J22" s="32"/>
      <c r="K22" s="104" t="s">
        <v>103</v>
      </c>
      <c r="L22" s="108" t="s">
        <v>104</v>
      </c>
      <c r="M22" s="111" t="s">
        <v>105</v>
      </c>
      <c r="N22" s="38" t="s">
        <v>106</v>
      </c>
      <c r="O22" s="105">
        <v>46043</v>
      </c>
      <c r="P22" s="105">
        <v>46119</v>
      </c>
      <c r="Q22" s="42" t="str">
        <f t="shared" ca="1" si="2"/>
        <v>PAGADO</v>
      </c>
      <c r="R22" s="42" t="str">
        <f t="shared" ca="1" si="3"/>
        <v>REVISIÓN</v>
      </c>
      <c r="S22" s="34"/>
      <c r="V22" s="44"/>
      <c r="W22" s="44"/>
      <c r="X22" s="44"/>
    </row>
    <row r="23" spans="1:24" ht="14.65" hidden="1" customHeight="1" x14ac:dyDescent="0.45">
      <c r="A23" s="104">
        <v>2235</v>
      </c>
      <c r="B23" s="105">
        <v>46043</v>
      </c>
      <c r="C23" s="106">
        <v>150000</v>
      </c>
      <c r="D23" s="106">
        <f t="shared" si="0"/>
        <v>24000</v>
      </c>
      <c r="E23" s="107"/>
      <c r="F23" s="106">
        <f t="shared" si="1"/>
        <v>174000</v>
      </c>
      <c r="G23" s="107"/>
      <c r="H23" s="107"/>
      <c r="I23" s="32"/>
      <c r="J23" s="32"/>
      <c r="K23" s="104" t="s">
        <v>107</v>
      </c>
      <c r="L23" s="108" t="s">
        <v>108</v>
      </c>
      <c r="M23" s="109" t="s">
        <v>109</v>
      </c>
      <c r="N23" s="36" t="s">
        <v>110</v>
      </c>
      <c r="O23" s="105">
        <v>46043</v>
      </c>
      <c r="P23" s="105">
        <v>45695</v>
      </c>
      <c r="Q23" s="42" t="str">
        <f t="shared" ca="1" si="2"/>
        <v>PAGADO</v>
      </c>
      <c r="R23" s="42">
        <v>46044</v>
      </c>
      <c r="S23" s="34"/>
      <c r="V23" s="44"/>
      <c r="W23" s="44"/>
      <c r="X23" s="44"/>
    </row>
    <row r="24" spans="1:24" ht="14.65" hidden="1" customHeight="1" x14ac:dyDescent="0.45">
      <c r="A24" s="104">
        <v>2236</v>
      </c>
      <c r="B24" s="105">
        <v>46045</v>
      </c>
      <c r="C24" s="106" t="s">
        <v>112</v>
      </c>
      <c r="D24" s="106" t="s">
        <v>112</v>
      </c>
      <c r="E24" s="107"/>
      <c r="F24" s="106" t="s">
        <v>112</v>
      </c>
      <c r="G24" s="107"/>
      <c r="H24" s="107"/>
      <c r="I24" s="32"/>
      <c r="J24" s="32"/>
      <c r="K24" s="104" t="s">
        <v>37</v>
      </c>
      <c r="L24" s="109" t="s">
        <v>41</v>
      </c>
      <c r="M24" s="109" t="s">
        <v>114</v>
      </c>
      <c r="N24" s="36" t="s">
        <v>111</v>
      </c>
      <c r="O24" s="105">
        <v>46045</v>
      </c>
      <c r="P24" s="114">
        <v>79272.72</v>
      </c>
      <c r="Q24" s="42" t="s">
        <v>112</v>
      </c>
      <c r="R24" s="42" t="s">
        <v>112</v>
      </c>
      <c r="S24" s="34"/>
      <c r="V24" s="44"/>
      <c r="W24" s="44"/>
      <c r="X24" s="44"/>
    </row>
    <row r="25" spans="1:24" ht="14.65" hidden="1" customHeight="1" x14ac:dyDescent="0.45">
      <c r="A25" s="104">
        <v>2237</v>
      </c>
      <c r="B25" s="105">
        <v>46045</v>
      </c>
      <c r="C25" s="106">
        <v>79272.72</v>
      </c>
      <c r="D25" s="106">
        <f t="shared" si="0"/>
        <v>12683.635200000001</v>
      </c>
      <c r="E25" s="107"/>
      <c r="F25" s="106">
        <f t="shared" si="1"/>
        <v>91956.355200000005</v>
      </c>
      <c r="G25" s="107"/>
      <c r="H25" s="107"/>
      <c r="I25" s="32"/>
      <c r="J25" s="32"/>
      <c r="K25" s="104" t="s">
        <v>81</v>
      </c>
      <c r="L25" s="108" t="s">
        <v>82</v>
      </c>
      <c r="M25" s="109" t="s">
        <v>113</v>
      </c>
      <c r="N25" s="36" t="s">
        <v>111</v>
      </c>
      <c r="O25" s="105">
        <v>46045</v>
      </c>
      <c r="P25" s="105">
        <v>45696</v>
      </c>
      <c r="Q25" s="42" t="str">
        <f t="shared" ca="1" si="2"/>
        <v>PAGADO</v>
      </c>
      <c r="R25" s="42">
        <v>46071</v>
      </c>
      <c r="S25" s="34"/>
      <c r="V25" s="44"/>
      <c r="W25" s="44"/>
      <c r="X25" s="44"/>
    </row>
    <row r="26" spans="1:24" ht="14.65" hidden="1" customHeight="1" x14ac:dyDescent="0.45">
      <c r="A26" s="104">
        <v>2238</v>
      </c>
      <c r="B26" s="105">
        <v>46048</v>
      </c>
      <c r="C26" s="106">
        <v>11537.5</v>
      </c>
      <c r="D26" s="106">
        <f t="shared" si="0"/>
        <v>1846</v>
      </c>
      <c r="E26" s="107"/>
      <c r="F26" s="106">
        <f t="shared" si="1"/>
        <v>13383.5</v>
      </c>
      <c r="G26" s="107"/>
      <c r="H26" s="107"/>
      <c r="I26" s="32"/>
      <c r="J26" s="32"/>
      <c r="K26" s="104" t="s">
        <v>81</v>
      </c>
      <c r="L26" s="108" t="s">
        <v>82</v>
      </c>
      <c r="M26" s="109" t="s">
        <v>115</v>
      </c>
      <c r="N26" s="36" t="s">
        <v>116</v>
      </c>
      <c r="O26" s="105">
        <v>46048</v>
      </c>
      <c r="P26" s="105">
        <v>45699</v>
      </c>
      <c r="Q26" s="42" t="str">
        <f t="shared" ca="1" si="2"/>
        <v>PAGADO</v>
      </c>
      <c r="R26" s="42" t="str">
        <f t="shared" ca="1" si="3"/>
        <v>REVISIÓN</v>
      </c>
      <c r="S26" s="34"/>
      <c r="V26" s="44"/>
      <c r="W26" s="44"/>
      <c r="X26" s="44"/>
    </row>
    <row r="27" spans="1:24" ht="14.65" hidden="1" customHeight="1" x14ac:dyDescent="0.45">
      <c r="A27" s="104">
        <v>2239</v>
      </c>
      <c r="B27" s="105">
        <v>46048</v>
      </c>
      <c r="C27" s="106">
        <v>21386.1</v>
      </c>
      <c r="D27" s="106">
        <f t="shared" si="0"/>
        <v>3421.7759999999998</v>
      </c>
      <c r="E27" s="107"/>
      <c r="F27" s="106">
        <f t="shared" si="1"/>
        <v>24807.875999999997</v>
      </c>
      <c r="G27" s="107"/>
      <c r="H27" s="107"/>
      <c r="I27" s="32"/>
      <c r="J27" s="32"/>
      <c r="K27" s="104" t="s">
        <v>81</v>
      </c>
      <c r="L27" s="108" t="s">
        <v>82</v>
      </c>
      <c r="M27" s="109" t="s">
        <v>117</v>
      </c>
      <c r="N27" s="36" t="s">
        <v>116</v>
      </c>
      <c r="O27" s="105">
        <v>46048</v>
      </c>
      <c r="P27" s="105">
        <v>45699</v>
      </c>
      <c r="Q27" s="42" t="str">
        <f t="shared" ca="1" si="2"/>
        <v>PAGADO</v>
      </c>
      <c r="R27" s="42">
        <v>46098</v>
      </c>
      <c r="S27" s="34"/>
      <c r="V27" s="44"/>
      <c r="W27" s="44"/>
      <c r="X27" s="44"/>
    </row>
    <row r="28" spans="1:24" ht="14.65" customHeight="1" x14ac:dyDescent="0.45">
      <c r="A28" s="104">
        <v>2240</v>
      </c>
      <c r="B28" s="105">
        <v>46048</v>
      </c>
      <c r="C28" s="106">
        <v>21000</v>
      </c>
      <c r="D28" s="106">
        <f t="shared" si="0"/>
        <v>3360</v>
      </c>
      <c r="E28" s="107"/>
      <c r="F28" s="106">
        <f t="shared" si="1"/>
        <v>24360</v>
      </c>
      <c r="G28" s="107"/>
      <c r="H28" s="107"/>
      <c r="I28" s="32"/>
      <c r="J28" s="32"/>
      <c r="K28" s="104" t="s">
        <v>118</v>
      </c>
      <c r="L28" s="109" t="s">
        <v>119</v>
      </c>
      <c r="M28" s="109" t="s">
        <v>120</v>
      </c>
      <c r="N28" s="112" t="s">
        <v>121</v>
      </c>
      <c r="O28" s="105">
        <v>46048</v>
      </c>
      <c r="P28" s="105">
        <v>45699</v>
      </c>
      <c r="Q28" s="42" t="str">
        <f t="shared" ca="1" si="2"/>
        <v>PAGADO</v>
      </c>
      <c r="R28" s="42" t="str">
        <f t="shared" ca="1" si="3"/>
        <v>REVISIÓN</v>
      </c>
      <c r="S28" s="34" t="s">
        <v>256</v>
      </c>
      <c r="V28" s="44"/>
      <c r="W28" s="44"/>
      <c r="X28" s="44"/>
    </row>
    <row r="29" spans="1:24" ht="14.65" customHeight="1" x14ac:dyDescent="0.45">
      <c r="A29" s="104">
        <v>2241</v>
      </c>
      <c r="B29" s="105">
        <v>46049</v>
      </c>
      <c r="C29" s="106">
        <v>30024.26</v>
      </c>
      <c r="D29" s="106">
        <f t="shared" si="0"/>
        <v>4803.8815999999997</v>
      </c>
      <c r="E29" s="107"/>
      <c r="F29" s="106">
        <f t="shared" si="1"/>
        <v>34828.141599999995</v>
      </c>
      <c r="G29" s="107"/>
      <c r="H29" s="107"/>
      <c r="I29" s="32"/>
      <c r="J29" s="32"/>
      <c r="K29" s="104" t="s">
        <v>118</v>
      </c>
      <c r="L29" s="109" t="s">
        <v>119</v>
      </c>
      <c r="M29" s="109" t="s">
        <v>122</v>
      </c>
      <c r="N29" s="36" t="s">
        <v>123</v>
      </c>
      <c r="O29" s="105">
        <v>46049</v>
      </c>
      <c r="P29" s="105">
        <v>45700</v>
      </c>
      <c r="Q29" s="42" t="str">
        <f t="shared" ca="1" si="2"/>
        <v>PAGADO</v>
      </c>
      <c r="R29" s="42" t="str">
        <f t="shared" ca="1" si="3"/>
        <v>REVISIÓN</v>
      </c>
      <c r="S29" s="34" t="s">
        <v>256</v>
      </c>
      <c r="V29" s="44"/>
      <c r="W29" s="44"/>
      <c r="X29" s="44"/>
    </row>
    <row r="30" spans="1:24" ht="14.65" hidden="1" customHeight="1" x14ac:dyDescent="0.45">
      <c r="A30" s="104">
        <v>2242</v>
      </c>
      <c r="B30" s="105">
        <v>46050</v>
      </c>
      <c r="C30" s="106"/>
      <c r="D30" s="106">
        <f t="shared" si="0"/>
        <v>0</v>
      </c>
      <c r="E30" s="107"/>
      <c r="F30" s="106">
        <f t="shared" si="1"/>
        <v>0</v>
      </c>
      <c r="G30" s="107">
        <v>9944.6</v>
      </c>
      <c r="H30" s="107">
        <f>G30*0.16</f>
        <v>1591.1360000000002</v>
      </c>
      <c r="I30" s="32">
        <f>G30+H30</f>
        <v>11535.736000000001</v>
      </c>
      <c r="J30" s="110" t="s">
        <v>124</v>
      </c>
      <c r="K30" s="104" t="s">
        <v>31</v>
      </c>
      <c r="L30" s="108" t="s">
        <v>70</v>
      </c>
      <c r="M30" s="108" t="s">
        <v>125</v>
      </c>
      <c r="N30" s="104" t="s">
        <v>91</v>
      </c>
      <c r="O30" s="105">
        <v>46050</v>
      </c>
      <c r="P30" s="105">
        <v>46080</v>
      </c>
      <c r="Q30" s="42" t="str">
        <f t="shared" ca="1" si="2"/>
        <v>PAGADO</v>
      </c>
      <c r="R30" s="42">
        <v>46090</v>
      </c>
      <c r="S30" s="34" t="s">
        <v>307</v>
      </c>
      <c r="V30" s="44"/>
      <c r="W30" s="44"/>
      <c r="X30" s="44"/>
    </row>
    <row r="31" spans="1:24" ht="14.65" hidden="1" customHeight="1" x14ac:dyDescent="0.45">
      <c r="A31" s="104">
        <v>2243</v>
      </c>
      <c r="B31" s="105">
        <v>46050</v>
      </c>
      <c r="C31" s="106" t="s">
        <v>112</v>
      </c>
      <c r="D31" s="106" t="s">
        <v>112</v>
      </c>
      <c r="E31" s="107"/>
      <c r="F31" s="106" t="s">
        <v>112</v>
      </c>
      <c r="G31" s="107"/>
      <c r="H31" s="107"/>
      <c r="I31" s="32"/>
      <c r="J31" s="32"/>
      <c r="K31" s="104" t="s">
        <v>81</v>
      </c>
      <c r="L31" s="108" t="s">
        <v>82</v>
      </c>
      <c r="M31" s="109" t="s">
        <v>129</v>
      </c>
      <c r="N31" s="112" t="s">
        <v>130</v>
      </c>
      <c r="O31" s="105">
        <v>46050</v>
      </c>
      <c r="P31" s="114">
        <v>142587.04999999999</v>
      </c>
      <c r="Q31" s="42" t="s">
        <v>112</v>
      </c>
      <c r="R31" s="42" t="s">
        <v>112</v>
      </c>
      <c r="S31" s="34"/>
      <c r="V31" s="44"/>
      <c r="W31" s="44"/>
      <c r="X31" s="44"/>
    </row>
    <row r="32" spans="1:24" ht="14.65" hidden="1" customHeight="1" x14ac:dyDescent="0.45">
      <c r="A32" s="104">
        <v>2244</v>
      </c>
      <c r="B32" s="105">
        <v>46050</v>
      </c>
      <c r="C32" s="106">
        <v>79272.72</v>
      </c>
      <c r="D32" s="106">
        <f t="shared" si="0"/>
        <v>12683.635200000001</v>
      </c>
      <c r="E32" s="107"/>
      <c r="F32" s="106">
        <f t="shared" si="1"/>
        <v>91956.355200000005</v>
      </c>
      <c r="G32" s="107"/>
      <c r="H32" s="107"/>
      <c r="I32" s="32"/>
      <c r="J32" s="32"/>
      <c r="K32" s="104" t="s">
        <v>81</v>
      </c>
      <c r="L32" s="108" t="s">
        <v>82</v>
      </c>
      <c r="M32" s="109" t="s">
        <v>133</v>
      </c>
      <c r="N32" s="112" t="s">
        <v>134</v>
      </c>
      <c r="O32" s="105">
        <v>46050</v>
      </c>
      <c r="P32" s="105">
        <v>46065</v>
      </c>
      <c r="Q32" s="42" t="str">
        <f t="shared" ca="1" si="2"/>
        <v>PAGADO</v>
      </c>
      <c r="R32" s="42" t="str">
        <f t="shared" ca="1" si="3"/>
        <v>REVISIÓN</v>
      </c>
      <c r="S32" s="34"/>
      <c r="V32" s="44"/>
      <c r="W32" s="44"/>
      <c r="X32" s="44"/>
    </row>
    <row r="33" spans="1:24" ht="14.65" hidden="1" customHeight="1" x14ac:dyDescent="0.45">
      <c r="A33" s="104">
        <v>2245</v>
      </c>
      <c r="B33" s="105">
        <v>46050</v>
      </c>
      <c r="C33" s="106">
        <v>79272.72</v>
      </c>
      <c r="D33" s="106">
        <f t="shared" si="0"/>
        <v>12683.635200000001</v>
      </c>
      <c r="E33" s="107"/>
      <c r="F33" s="106">
        <f t="shared" si="1"/>
        <v>91956.355200000005</v>
      </c>
      <c r="G33" s="107"/>
      <c r="H33" s="107"/>
      <c r="I33" s="32"/>
      <c r="J33" s="32"/>
      <c r="K33" s="104" t="s">
        <v>81</v>
      </c>
      <c r="L33" s="108" t="s">
        <v>82</v>
      </c>
      <c r="M33" s="109" t="s">
        <v>135</v>
      </c>
      <c r="N33" s="112" t="s">
        <v>136</v>
      </c>
      <c r="O33" s="105">
        <v>46050</v>
      </c>
      <c r="P33" s="105">
        <v>46065</v>
      </c>
      <c r="Q33" s="42" t="str">
        <f t="shared" ca="1" si="2"/>
        <v>PAGADO</v>
      </c>
      <c r="R33" s="42" t="str">
        <f t="shared" ca="1" si="3"/>
        <v>REVISIÓN</v>
      </c>
      <c r="S33" s="34"/>
      <c r="V33" s="44"/>
      <c r="W33" s="44"/>
      <c r="X33" s="44"/>
    </row>
    <row r="34" spans="1:24" ht="14.65" hidden="1" customHeight="1" x14ac:dyDescent="0.45">
      <c r="A34" s="104">
        <v>2246</v>
      </c>
      <c r="B34" s="105">
        <v>46050</v>
      </c>
      <c r="C34" s="106">
        <v>142587.04999999999</v>
      </c>
      <c r="D34" s="106">
        <f t="shared" si="0"/>
        <v>22813.928</v>
      </c>
      <c r="E34" s="107"/>
      <c r="F34" s="106">
        <f t="shared" si="1"/>
        <v>165400.978</v>
      </c>
      <c r="G34" s="107"/>
      <c r="H34" s="107"/>
      <c r="I34" s="32"/>
      <c r="J34" s="32"/>
      <c r="K34" s="104" t="s">
        <v>81</v>
      </c>
      <c r="L34" s="108" t="s">
        <v>82</v>
      </c>
      <c r="M34" s="109" t="s">
        <v>131</v>
      </c>
      <c r="N34" s="112" t="s">
        <v>132</v>
      </c>
      <c r="O34" s="105">
        <v>46050</v>
      </c>
      <c r="P34" s="105">
        <v>46065</v>
      </c>
      <c r="Q34" s="42" t="str">
        <f t="shared" ca="1" si="2"/>
        <v>PAGADO</v>
      </c>
      <c r="R34" s="42">
        <v>46071</v>
      </c>
      <c r="S34" s="34"/>
      <c r="V34" s="44"/>
      <c r="W34" s="44"/>
      <c r="X34" s="44"/>
    </row>
    <row r="35" spans="1:24" ht="14.65" hidden="1" customHeight="1" x14ac:dyDescent="0.45">
      <c r="A35" s="104">
        <v>2247</v>
      </c>
      <c r="B35" s="105">
        <v>46050</v>
      </c>
      <c r="C35" s="106">
        <v>50000</v>
      </c>
      <c r="D35" s="106">
        <f t="shared" si="0"/>
        <v>8000</v>
      </c>
      <c r="E35" s="107"/>
      <c r="F35" s="106">
        <f t="shared" si="1"/>
        <v>58000</v>
      </c>
      <c r="G35" s="107"/>
      <c r="H35" s="107"/>
      <c r="I35" s="32"/>
      <c r="J35" s="32"/>
      <c r="K35" s="104" t="s">
        <v>137</v>
      </c>
      <c r="L35" s="108" t="s">
        <v>138</v>
      </c>
      <c r="M35" s="109" t="s">
        <v>139</v>
      </c>
      <c r="N35" s="36" t="s">
        <v>140</v>
      </c>
      <c r="O35" s="105">
        <v>46050</v>
      </c>
      <c r="P35" s="105">
        <v>46065</v>
      </c>
      <c r="Q35" s="42" t="str">
        <f t="shared" ca="1" si="2"/>
        <v>PAGADO</v>
      </c>
      <c r="R35" s="42">
        <v>46051</v>
      </c>
      <c r="S35" s="34"/>
      <c r="V35" s="44"/>
      <c r="W35" s="44"/>
      <c r="X35" s="44"/>
    </row>
    <row r="36" spans="1:24" ht="14.65" hidden="1" customHeight="1" x14ac:dyDescent="0.45">
      <c r="A36" s="104">
        <v>2248</v>
      </c>
      <c r="B36" s="105">
        <v>46052</v>
      </c>
      <c r="C36" s="106">
        <v>13512.05</v>
      </c>
      <c r="D36" s="106">
        <f t="shared" si="0"/>
        <v>2161.9279999999999</v>
      </c>
      <c r="E36" s="107"/>
      <c r="F36" s="106">
        <f t="shared" si="1"/>
        <v>15673.977999999999</v>
      </c>
      <c r="G36" s="107"/>
      <c r="H36" s="107"/>
      <c r="I36" s="32"/>
      <c r="J36" s="32"/>
      <c r="K36" s="104" t="s">
        <v>81</v>
      </c>
      <c r="L36" s="108" t="s">
        <v>82</v>
      </c>
      <c r="M36" s="109" t="s">
        <v>141</v>
      </c>
      <c r="N36" s="36" t="s">
        <v>116</v>
      </c>
      <c r="O36" s="105">
        <v>46052</v>
      </c>
      <c r="P36" s="105">
        <v>46067</v>
      </c>
      <c r="Q36" s="42" t="str">
        <f t="shared" ca="1" si="2"/>
        <v>PAGADO</v>
      </c>
      <c r="R36" s="42">
        <v>46071</v>
      </c>
      <c r="S36" s="34"/>
      <c r="V36" s="44"/>
      <c r="W36" s="44"/>
      <c r="X36" s="44"/>
    </row>
    <row r="37" spans="1:24" ht="14.65" hidden="1" customHeight="1" x14ac:dyDescent="0.45">
      <c r="A37" s="104">
        <v>2249</v>
      </c>
      <c r="B37" s="105">
        <v>46052</v>
      </c>
      <c r="C37" s="106">
        <v>13019.28</v>
      </c>
      <c r="D37" s="106">
        <f t="shared" ref="D37:D123" si="4">+C37*0.16</f>
        <v>2083.0848000000001</v>
      </c>
      <c r="E37" s="107"/>
      <c r="F37" s="106">
        <f t="shared" ref="F37:F123" si="5">+C37+D37</f>
        <v>15102.364800000001</v>
      </c>
      <c r="G37" s="107"/>
      <c r="H37" s="107"/>
      <c r="I37" s="32"/>
      <c r="J37" s="32"/>
      <c r="K37" s="104" t="s">
        <v>81</v>
      </c>
      <c r="L37" s="108" t="s">
        <v>82</v>
      </c>
      <c r="M37" s="109" t="s">
        <v>142</v>
      </c>
      <c r="N37" s="36" t="s">
        <v>143</v>
      </c>
      <c r="O37" s="105">
        <v>46052</v>
      </c>
      <c r="P37" s="105">
        <v>46067</v>
      </c>
      <c r="Q37" s="42" t="str">
        <f t="shared" ref="Q37:Q123" ca="1" si="6">IF(AND(R37&lt;&gt;"",P37&lt;$T$1),"PAGADO","ON TRACK")</f>
        <v>PAGADO</v>
      </c>
      <c r="R37" s="42">
        <v>46072</v>
      </c>
      <c r="S37" s="34"/>
      <c r="V37" s="44"/>
      <c r="W37" s="44"/>
      <c r="X37" s="44"/>
    </row>
    <row r="38" spans="1:24" ht="14.65" hidden="1" customHeight="1" x14ac:dyDescent="0.45">
      <c r="A38" s="104">
        <v>2250</v>
      </c>
      <c r="B38" s="105">
        <v>46056</v>
      </c>
      <c r="C38" s="106">
        <v>50000</v>
      </c>
      <c r="D38" s="106">
        <f t="shared" si="4"/>
        <v>8000</v>
      </c>
      <c r="E38" s="107"/>
      <c r="F38" s="106">
        <f t="shared" si="5"/>
        <v>58000</v>
      </c>
      <c r="G38" s="107"/>
      <c r="H38" s="107"/>
      <c r="I38" s="32"/>
      <c r="J38" s="32"/>
      <c r="K38" s="104" t="s">
        <v>32</v>
      </c>
      <c r="L38" s="108" t="s">
        <v>33</v>
      </c>
      <c r="M38" s="108" t="s">
        <v>34</v>
      </c>
      <c r="N38" s="38" t="s">
        <v>144</v>
      </c>
      <c r="O38" s="105">
        <v>46056</v>
      </c>
      <c r="P38" s="105">
        <v>46071</v>
      </c>
      <c r="Q38" s="42" t="str">
        <f t="shared" ca="1" si="6"/>
        <v>PAGADO</v>
      </c>
      <c r="R38" s="42">
        <v>46080</v>
      </c>
      <c r="S38" s="34"/>
      <c r="V38" s="44"/>
      <c r="W38" s="44"/>
      <c r="X38" s="44"/>
    </row>
    <row r="39" spans="1:24" ht="14.65" hidden="1" customHeight="1" x14ac:dyDescent="0.45">
      <c r="A39" s="104">
        <v>2251</v>
      </c>
      <c r="B39" s="105">
        <v>46056</v>
      </c>
      <c r="C39" s="106"/>
      <c r="D39" s="106">
        <f t="shared" si="4"/>
        <v>0</v>
      </c>
      <c r="E39" s="107"/>
      <c r="F39" s="106">
        <f t="shared" si="5"/>
        <v>0</v>
      </c>
      <c r="G39" s="107">
        <v>6000</v>
      </c>
      <c r="H39" s="107">
        <f>G39*0.16</f>
        <v>960</v>
      </c>
      <c r="I39" s="32">
        <f>G39+H39</f>
        <v>6960</v>
      </c>
      <c r="J39" s="110" t="s">
        <v>126</v>
      </c>
      <c r="K39" s="104" t="s">
        <v>31</v>
      </c>
      <c r="L39" s="108" t="s">
        <v>38</v>
      </c>
      <c r="M39" s="108" t="s">
        <v>127</v>
      </c>
      <c r="N39" s="36" t="s">
        <v>128</v>
      </c>
      <c r="O39" s="105">
        <v>46056</v>
      </c>
      <c r="P39" s="105">
        <v>46071</v>
      </c>
      <c r="Q39" s="42" t="str">
        <f t="shared" ca="1" si="6"/>
        <v>PAGADO</v>
      </c>
      <c r="R39" s="42">
        <v>46084</v>
      </c>
      <c r="S39" s="34"/>
      <c r="V39" s="44"/>
      <c r="W39" s="44"/>
      <c r="X39" s="44"/>
    </row>
    <row r="40" spans="1:24" ht="14.65" hidden="1" customHeight="1" x14ac:dyDescent="0.45">
      <c r="A40" s="104">
        <v>2252</v>
      </c>
      <c r="B40" s="105">
        <v>46057</v>
      </c>
      <c r="C40" s="106">
        <v>189000</v>
      </c>
      <c r="D40" s="106">
        <f t="shared" si="4"/>
        <v>30240</v>
      </c>
      <c r="E40" s="107"/>
      <c r="F40" s="106">
        <f t="shared" si="5"/>
        <v>219240</v>
      </c>
      <c r="G40" s="107"/>
      <c r="H40" s="107"/>
      <c r="I40" s="32"/>
      <c r="J40" s="32"/>
      <c r="K40" s="104" t="s">
        <v>145</v>
      </c>
      <c r="L40" s="108" t="s">
        <v>146</v>
      </c>
      <c r="M40" s="108" t="s">
        <v>147</v>
      </c>
      <c r="N40" s="36" t="s">
        <v>148</v>
      </c>
      <c r="O40" s="105">
        <v>46057</v>
      </c>
      <c r="P40" s="105">
        <v>46072</v>
      </c>
      <c r="Q40" s="42" t="s">
        <v>161</v>
      </c>
      <c r="R40" s="42">
        <v>46059</v>
      </c>
      <c r="S40" s="34"/>
      <c r="V40" s="44"/>
      <c r="W40" s="44"/>
      <c r="X40" s="44"/>
    </row>
    <row r="41" spans="1:24" ht="14.65" hidden="1" customHeight="1" x14ac:dyDescent="0.45">
      <c r="A41" s="104">
        <v>2253</v>
      </c>
      <c r="B41" s="105">
        <v>46057</v>
      </c>
      <c r="C41" s="106">
        <v>174825</v>
      </c>
      <c r="D41" s="106">
        <f t="shared" si="4"/>
        <v>27972</v>
      </c>
      <c r="E41" s="107"/>
      <c r="F41" s="106">
        <f t="shared" si="5"/>
        <v>202797</v>
      </c>
      <c r="G41" s="107"/>
      <c r="H41" s="107"/>
      <c r="I41" s="32"/>
      <c r="J41" s="32"/>
      <c r="K41" s="104" t="s">
        <v>149</v>
      </c>
      <c r="L41" s="108" t="s">
        <v>150</v>
      </c>
      <c r="M41" s="109" t="s">
        <v>151</v>
      </c>
      <c r="N41" s="36" t="s">
        <v>152</v>
      </c>
      <c r="O41" s="105">
        <v>46057</v>
      </c>
      <c r="P41" s="105">
        <v>46085</v>
      </c>
      <c r="Q41" s="42" t="str">
        <f t="shared" ca="1" si="6"/>
        <v>PAGADO</v>
      </c>
      <c r="R41" s="42">
        <v>46085</v>
      </c>
      <c r="S41" s="34"/>
      <c r="V41" s="44"/>
      <c r="W41" s="44"/>
      <c r="X41" s="44"/>
    </row>
    <row r="42" spans="1:24" ht="14.65" hidden="1" customHeight="1" x14ac:dyDescent="0.45">
      <c r="A42" s="104">
        <v>2254</v>
      </c>
      <c r="B42" s="105">
        <v>46058</v>
      </c>
      <c r="C42" s="106" t="s">
        <v>112</v>
      </c>
      <c r="D42" s="106" t="s">
        <v>112</v>
      </c>
      <c r="E42" s="107"/>
      <c r="F42" s="106" t="s">
        <v>112</v>
      </c>
      <c r="G42" s="107"/>
      <c r="H42" s="107"/>
      <c r="I42" s="32"/>
      <c r="J42" s="32"/>
      <c r="K42" s="104" t="s">
        <v>67</v>
      </c>
      <c r="L42" s="109" t="s">
        <v>153</v>
      </c>
      <c r="M42" s="109" t="s">
        <v>154</v>
      </c>
      <c r="N42" s="38" t="s">
        <v>155</v>
      </c>
      <c r="O42" s="105">
        <v>46058</v>
      </c>
      <c r="P42" s="114">
        <v>391235.04</v>
      </c>
      <c r="Q42" s="42" t="s">
        <v>112</v>
      </c>
      <c r="R42" s="42" t="s">
        <v>112</v>
      </c>
      <c r="S42" s="34"/>
      <c r="V42" s="44"/>
      <c r="W42" s="44"/>
      <c r="X42" s="44"/>
    </row>
    <row r="43" spans="1:24" ht="14.65" hidden="1" customHeight="1" x14ac:dyDescent="0.45">
      <c r="A43" s="104">
        <v>2255</v>
      </c>
      <c r="B43" s="105">
        <v>46058</v>
      </c>
      <c r="C43" s="106">
        <v>391235.04</v>
      </c>
      <c r="D43" s="106">
        <f t="shared" si="4"/>
        <v>62597.606399999997</v>
      </c>
      <c r="E43" s="107"/>
      <c r="F43" s="106">
        <f t="shared" si="5"/>
        <v>453832.64639999997</v>
      </c>
      <c r="G43" s="107"/>
      <c r="H43" s="107"/>
      <c r="I43" s="32"/>
      <c r="J43" s="32"/>
      <c r="K43" s="104" t="s">
        <v>67</v>
      </c>
      <c r="L43" s="109" t="s">
        <v>153</v>
      </c>
      <c r="M43" s="109" t="s">
        <v>156</v>
      </c>
      <c r="N43" s="38" t="s">
        <v>106</v>
      </c>
      <c r="O43" s="105">
        <v>46058</v>
      </c>
      <c r="P43" s="105">
        <v>46073</v>
      </c>
      <c r="Q43" s="42" t="str">
        <f t="shared" ca="1" si="6"/>
        <v>PAGADO</v>
      </c>
      <c r="R43" s="42">
        <v>46078</v>
      </c>
      <c r="S43" s="34"/>
      <c r="V43" s="44"/>
      <c r="W43" s="44"/>
      <c r="X43" s="44"/>
    </row>
    <row r="44" spans="1:24" ht="14.65" hidden="1" customHeight="1" x14ac:dyDescent="0.45">
      <c r="A44" s="104">
        <v>2256</v>
      </c>
      <c r="B44" s="105">
        <v>46063</v>
      </c>
      <c r="C44" s="106">
        <v>160000</v>
      </c>
      <c r="D44" s="106"/>
      <c r="E44" s="107"/>
      <c r="F44" s="106">
        <f t="shared" si="5"/>
        <v>160000</v>
      </c>
      <c r="G44" s="107"/>
      <c r="H44" s="107"/>
      <c r="I44" s="32"/>
      <c r="J44" s="32"/>
      <c r="K44" s="104" t="s">
        <v>31</v>
      </c>
      <c r="L44" s="109" t="s">
        <v>73</v>
      </c>
      <c r="M44" s="109" t="s">
        <v>163</v>
      </c>
      <c r="N44" s="38" t="s">
        <v>106</v>
      </c>
      <c r="O44" s="105">
        <v>46063</v>
      </c>
      <c r="P44" s="105">
        <v>46078</v>
      </c>
      <c r="Q44" s="42" t="str">
        <f t="shared" ca="1" si="6"/>
        <v>PAGADO</v>
      </c>
      <c r="R44" s="42">
        <v>46070</v>
      </c>
      <c r="S44" s="34"/>
      <c r="V44" s="44"/>
      <c r="W44" s="44"/>
      <c r="X44" s="44"/>
    </row>
    <row r="45" spans="1:24" ht="14.65" hidden="1" customHeight="1" x14ac:dyDescent="0.45">
      <c r="A45" s="104">
        <v>2257</v>
      </c>
      <c r="B45" s="105">
        <v>46063</v>
      </c>
      <c r="C45" s="106">
        <v>800000</v>
      </c>
      <c r="D45" s="106">
        <f t="shared" si="4"/>
        <v>128000</v>
      </c>
      <c r="E45" s="107"/>
      <c r="F45" s="106">
        <f t="shared" si="5"/>
        <v>928000</v>
      </c>
      <c r="G45" s="107"/>
      <c r="H45" s="107"/>
      <c r="I45" s="32"/>
      <c r="J45" s="32"/>
      <c r="K45" s="104" t="s">
        <v>81</v>
      </c>
      <c r="L45" s="109" t="s">
        <v>82</v>
      </c>
      <c r="M45" s="109" t="s">
        <v>164</v>
      </c>
      <c r="N45" s="38" t="s">
        <v>165</v>
      </c>
      <c r="O45" s="105">
        <v>46063</v>
      </c>
      <c r="P45" s="105">
        <v>46078</v>
      </c>
      <c r="Q45" s="42" t="str">
        <f t="shared" ca="1" si="6"/>
        <v>PAGADO</v>
      </c>
      <c r="R45" s="42">
        <v>46091</v>
      </c>
      <c r="S45" s="34"/>
      <c r="V45" s="44"/>
      <c r="W45" s="44"/>
      <c r="X45" s="44"/>
    </row>
    <row r="46" spans="1:24" ht="14.65" hidden="1" customHeight="1" x14ac:dyDescent="0.45">
      <c r="A46" s="104">
        <v>2258</v>
      </c>
      <c r="B46" s="105">
        <v>46063</v>
      </c>
      <c r="C46" s="106">
        <v>105000</v>
      </c>
      <c r="D46" s="106">
        <f t="shared" ref="D46:D63" si="7">+C46*0.16</f>
        <v>16800</v>
      </c>
      <c r="E46" s="107"/>
      <c r="F46" s="106">
        <f t="shared" ref="F46:F63" si="8">+C46+D46</f>
        <v>121800</v>
      </c>
      <c r="G46" s="107"/>
      <c r="H46" s="107"/>
      <c r="I46" s="32"/>
      <c r="J46" s="32"/>
      <c r="K46" s="104" t="s">
        <v>37</v>
      </c>
      <c r="L46" s="109" t="s">
        <v>49</v>
      </c>
      <c r="M46" s="109" t="s">
        <v>166</v>
      </c>
      <c r="N46" s="36" t="s">
        <v>167</v>
      </c>
      <c r="O46" s="105">
        <v>46063</v>
      </c>
      <c r="P46" s="105">
        <v>46078</v>
      </c>
      <c r="Q46" s="42" t="str">
        <f t="shared" ref="Q46:Q63" ca="1" si="9">IF(AND(R46&lt;&gt;"",P46&lt;$T$1),"PAGADO","ON TRACK")</f>
        <v>PAGADO</v>
      </c>
      <c r="R46" s="42" t="str">
        <f t="shared" ref="R46:R62" ca="1" si="10">IF(P46&gt;(TODAY()),"","REVISIÓN")</f>
        <v>REVISIÓN</v>
      </c>
      <c r="S46" s="34"/>
      <c r="V46" s="44"/>
      <c r="W46" s="44"/>
      <c r="X46" s="44"/>
    </row>
    <row r="47" spans="1:24" ht="14.65" hidden="1" customHeight="1" x14ac:dyDescent="0.45">
      <c r="A47" s="104">
        <v>2259</v>
      </c>
      <c r="B47" s="105">
        <v>46063</v>
      </c>
      <c r="C47" s="106">
        <v>105000</v>
      </c>
      <c r="D47" s="106">
        <f t="shared" si="7"/>
        <v>16800</v>
      </c>
      <c r="E47" s="107"/>
      <c r="F47" s="106">
        <f t="shared" si="8"/>
        <v>121800</v>
      </c>
      <c r="G47" s="107"/>
      <c r="H47" s="107"/>
      <c r="I47" s="32"/>
      <c r="J47" s="32"/>
      <c r="K47" s="104" t="s">
        <v>37</v>
      </c>
      <c r="L47" s="109" t="s">
        <v>49</v>
      </c>
      <c r="M47" s="109" t="s">
        <v>168</v>
      </c>
      <c r="N47" s="36" t="s">
        <v>169</v>
      </c>
      <c r="O47" s="105">
        <v>46063</v>
      </c>
      <c r="P47" s="105">
        <v>46078</v>
      </c>
      <c r="Q47" s="42" t="str">
        <f t="shared" ca="1" si="9"/>
        <v>PAGADO</v>
      </c>
      <c r="R47" s="42">
        <v>46083</v>
      </c>
      <c r="S47" s="34"/>
      <c r="V47" s="44"/>
      <c r="W47" s="44"/>
      <c r="X47" s="44"/>
    </row>
    <row r="48" spans="1:24" ht="14.65" hidden="1" customHeight="1" x14ac:dyDescent="0.45">
      <c r="A48" s="104">
        <v>2260</v>
      </c>
      <c r="B48" s="105">
        <v>46063</v>
      </c>
      <c r="C48" s="106">
        <v>58000</v>
      </c>
      <c r="D48" s="106">
        <f t="shared" si="7"/>
        <v>9280</v>
      </c>
      <c r="E48" s="107"/>
      <c r="F48" s="106">
        <f t="shared" si="8"/>
        <v>67280</v>
      </c>
      <c r="G48" s="107"/>
      <c r="H48" s="107"/>
      <c r="I48" s="32"/>
      <c r="J48" s="32"/>
      <c r="K48" s="104" t="s">
        <v>39</v>
      </c>
      <c r="L48" s="108" t="s">
        <v>40</v>
      </c>
      <c r="M48" s="109" t="s">
        <v>170</v>
      </c>
      <c r="N48" s="36" t="s">
        <v>35</v>
      </c>
      <c r="O48" s="105">
        <v>46063</v>
      </c>
      <c r="P48" s="105">
        <v>46078</v>
      </c>
      <c r="Q48" s="42" t="str">
        <f t="shared" ca="1" si="9"/>
        <v>PAGADO</v>
      </c>
      <c r="R48" s="42">
        <v>46071</v>
      </c>
      <c r="S48" s="34"/>
      <c r="V48" s="44"/>
      <c r="W48" s="44"/>
      <c r="X48" s="44"/>
    </row>
    <row r="49" spans="1:24" ht="14.65" hidden="1" customHeight="1" x14ac:dyDescent="0.45">
      <c r="A49" s="104">
        <v>2261</v>
      </c>
      <c r="B49" s="105">
        <v>46065</v>
      </c>
      <c r="C49" s="106">
        <v>11360.99</v>
      </c>
      <c r="D49" s="106">
        <f t="shared" si="7"/>
        <v>1817.7583999999999</v>
      </c>
      <c r="E49" s="107"/>
      <c r="F49" s="106">
        <f t="shared" si="8"/>
        <v>13178.7484</v>
      </c>
      <c r="G49" s="107"/>
      <c r="H49" s="107"/>
      <c r="I49" s="32"/>
      <c r="J49" s="32"/>
      <c r="K49" s="104" t="s">
        <v>81</v>
      </c>
      <c r="L49" s="108" t="s">
        <v>82</v>
      </c>
      <c r="M49" s="109" t="s">
        <v>171</v>
      </c>
      <c r="N49" s="36" t="s">
        <v>172</v>
      </c>
      <c r="O49" s="105">
        <v>46065</v>
      </c>
      <c r="P49" s="105">
        <v>46080</v>
      </c>
      <c r="Q49" s="42" t="str">
        <f t="shared" ca="1" si="9"/>
        <v>PAGADO</v>
      </c>
      <c r="R49" s="42">
        <v>46085</v>
      </c>
      <c r="S49" s="34"/>
      <c r="V49" s="44"/>
      <c r="W49" s="44"/>
      <c r="X49" s="44"/>
    </row>
    <row r="50" spans="1:24" ht="14.65" hidden="1" customHeight="1" x14ac:dyDescent="0.45">
      <c r="A50" s="104">
        <v>2262</v>
      </c>
      <c r="B50" s="105">
        <v>46065</v>
      </c>
      <c r="C50" s="106">
        <v>11360</v>
      </c>
      <c r="D50" s="106">
        <f t="shared" si="7"/>
        <v>1817.6000000000001</v>
      </c>
      <c r="E50" s="107"/>
      <c r="F50" s="106">
        <f t="shared" si="8"/>
        <v>13177.6</v>
      </c>
      <c r="G50" s="107"/>
      <c r="H50" s="107"/>
      <c r="I50" s="32"/>
      <c r="J50" s="32"/>
      <c r="K50" s="104" t="s">
        <v>81</v>
      </c>
      <c r="L50" s="108" t="s">
        <v>82</v>
      </c>
      <c r="M50" s="109" t="s">
        <v>173</v>
      </c>
      <c r="N50" s="36" t="s">
        <v>116</v>
      </c>
      <c r="O50" s="105">
        <v>46065</v>
      </c>
      <c r="P50" s="105">
        <v>46080</v>
      </c>
      <c r="Q50" s="42" t="str">
        <f t="shared" ca="1" si="9"/>
        <v>PAGADO</v>
      </c>
      <c r="R50" s="42">
        <v>46085</v>
      </c>
      <c r="S50" s="34"/>
      <c r="V50" s="44"/>
      <c r="W50" s="44"/>
      <c r="X50" s="44"/>
    </row>
    <row r="51" spans="1:24" ht="14.65" hidden="1" customHeight="1" x14ac:dyDescent="0.45">
      <c r="A51" s="104">
        <v>2263</v>
      </c>
      <c r="B51" s="105">
        <v>46065</v>
      </c>
      <c r="C51" s="106">
        <v>13353.9</v>
      </c>
      <c r="D51" s="106">
        <f t="shared" si="7"/>
        <v>2136.6239999999998</v>
      </c>
      <c r="E51" s="107"/>
      <c r="F51" s="106">
        <f t="shared" si="8"/>
        <v>15490.523999999999</v>
      </c>
      <c r="G51" s="107"/>
      <c r="H51" s="107"/>
      <c r="I51" s="32"/>
      <c r="J51" s="32"/>
      <c r="K51" s="104" t="s">
        <v>81</v>
      </c>
      <c r="L51" s="108" t="s">
        <v>82</v>
      </c>
      <c r="M51" s="109" t="s">
        <v>174</v>
      </c>
      <c r="N51" s="36" t="s">
        <v>175</v>
      </c>
      <c r="O51" s="105">
        <v>46065</v>
      </c>
      <c r="P51" s="105">
        <v>46080</v>
      </c>
      <c r="Q51" s="42" t="str">
        <f t="shared" ca="1" si="9"/>
        <v>PAGADO</v>
      </c>
      <c r="R51" s="42">
        <v>46085</v>
      </c>
      <c r="S51" s="34"/>
      <c r="V51" s="44"/>
      <c r="W51" s="44"/>
      <c r="X51" s="44"/>
    </row>
    <row r="52" spans="1:24" ht="14.65" hidden="1" customHeight="1" x14ac:dyDescent="0.45">
      <c r="A52" s="104">
        <v>2264</v>
      </c>
      <c r="B52" s="105">
        <v>46065</v>
      </c>
      <c r="C52" s="106">
        <v>9642.25</v>
      </c>
      <c r="D52" s="106">
        <f t="shared" si="7"/>
        <v>1542.76</v>
      </c>
      <c r="E52" s="107"/>
      <c r="F52" s="106">
        <f t="shared" si="8"/>
        <v>11185.01</v>
      </c>
      <c r="G52" s="107"/>
      <c r="H52" s="107"/>
      <c r="I52" s="32"/>
      <c r="J52" s="32"/>
      <c r="K52" s="104" t="s">
        <v>81</v>
      </c>
      <c r="L52" s="108" t="s">
        <v>82</v>
      </c>
      <c r="M52" s="109" t="s">
        <v>176</v>
      </c>
      <c r="N52" s="36" t="s">
        <v>116</v>
      </c>
      <c r="O52" s="105">
        <v>46065</v>
      </c>
      <c r="P52" s="105">
        <v>46080</v>
      </c>
      <c r="Q52" s="42" t="str">
        <f t="shared" ca="1" si="9"/>
        <v>PAGADO</v>
      </c>
      <c r="R52" s="42">
        <v>46094</v>
      </c>
      <c r="S52" s="34"/>
      <c r="V52" s="44"/>
      <c r="W52" s="44"/>
      <c r="X52" s="44"/>
    </row>
    <row r="53" spans="1:24" ht="14.65" hidden="1" customHeight="1" x14ac:dyDescent="0.45">
      <c r="A53" s="104">
        <v>2265</v>
      </c>
      <c r="B53" s="105">
        <v>46065</v>
      </c>
      <c r="C53" s="106">
        <v>40461.360000000001</v>
      </c>
      <c r="D53" s="106">
        <f t="shared" si="7"/>
        <v>6473.8176000000003</v>
      </c>
      <c r="E53" s="107"/>
      <c r="F53" s="106">
        <f t="shared" si="8"/>
        <v>46935.177600000003</v>
      </c>
      <c r="G53" s="107"/>
      <c r="H53" s="107"/>
      <c r="I53" s="32"/>
      <c r="J53" s="32"/>
      <c r="K53" s="104" t="s">
        <v>81</v>
      </c>
      <c r="L53" s="108" t="s">
        <v>82</v>
      </c>
      <c r="M53" s="109" t="s">
        <v>177</v>
      </c>
      <c r="N53" s="112" t="s">
        <v>178</v>
      </c>
      <c r="O53" s="105">
        <v>46065</v>
      </c>
      <c r="P53" s="105">
        <v>46080</v>
      </c>
      <c r="Q53" s="42" t="str">
        <f t="shared" ca="1" si="9"/>
        <v>PAGADO</v>
      </c>
      <c r="R53" s="42">
        <v>46107</v>
      </c>
      <c r="S53" s="34"/>
      <c r="V53" s="44"/>
      <c r="W53" s="44"/>
      <c r="X53" s="44"/>
    </row>
    <row r="54" spans="1:24" ht="14.65" hidden="1" customHeight="1" x14ac:dyDescent="0.45">
      <c r="A54" s="104">
        <v>2266</v>
      </c>
      <c r="B54" s="105">
        <v>46066</v>
      </c>
      <c r="C54" s="106" t="s">
        <v>112</v>
      </c>
      <c r="D54" s="106" t="s">
        <v>112</v>
      </c>
      <c r="E54" s="107"/>
      <c r="F54" s="106" t="s">
        <v>112</v>
      </c>
      <c r="G54" s="107"/>
      <c r="H54" s="107"/>
      <c r="I54" s="32"/>
      <c r="J54" s="32"/>
      <c r="K54" s="104" t="s">
        <v>81</v>
      </c>
      <c r="L54" s="108" t="s">
        <v>82</v>
      </c>
      <c r="M54" s="109" t="s">
        <v>179</v>
      </c>
      <c r="N54" s="36" t="s">
        <v>180</v>
      </c>
      <c r="O54" s="105">
        <v>46066</v>
      </c>
      <c r="P54" s="114">
        <v>8808.86</v>
      </c>
      <c r="Q54" s="42" t="str">
        <f t="shared" ca="1" si="9"/>
        <v>PAGADO</v>
      </c>
      <c r="R54" s="42" t="str">
        <f t="shared" ca="1" si="10"/>
        <v>REVISIÓN</v>
      </c>
      <c r="S54" s="34"/>
      <c r="V54" s="44"/>
      <c r="W54" s="44"/>
      <c r="X54" s="44"/>
    </row>
    <row r="55" spans="1:24" ht="14.65" hidden="1" customHeight="1" x14ac:dyDescent="0.45">
      <c r="A55" s="104">
        <v>2267</v>
      </c>
      <c r="B55" s="105">
        <v>46066</v>
      </c>
      <c r="C55" s="106" t="s">
        <v>112</v>
      </c>
      <c r="D55" s="106" t="s">
        <v>112</v>
      </c>
      <c r="E55" s="107"/>
      <c r="F55" s="106" t="s">
        <v>112</v>
      </c>
      <c r="G55" s="107"/>
      <c r="H55" s="107"/>
      <c r="I55" s="32"/>
      <c r="J55" s="32"/>
      <c r="K55" s="104" t="s">
        <v>81</v>
      </c>
      <c r="L55" s="108" t="s">
        <v>82</v>
      </c>
      <c r="M55" s="109" t="s">
        <v>181</v>
      </c>
      <c r="N55" s="36" t="s">
        <v>180</v>
      </c>
      <c r="O55" s="105">
        <v>46066</v>
      </c>
      <c r="P55" s="114">
        <v>8808.86</v>
      </c>
      <c r="Q55" s="42" t="str">
        <f t="shared" ca="1" si="9"/>
        <v>PAGADO</v>
      </c>
      <c r="R55" s="42" t="str">
        <f t="shared" ca="1" si="10"/>
        <v>REVISIÓN</v>
      </c>
      <c r="S55" s="34"/>
      <c r="V55" s="44"/>
      <c r="W55" s="44"/>
      <c r="X55" s="44"/>
    </row>
    <row r="56" spans="1:24" ht="14.65" hidden="1" customHeight="1" x14ac:dyDescent="0.45">
      <c r="A56" s="104">
        <v>2268</v>
      </c>
      <c r="B56" s="105">
        <v>46066</v>
      </c>
      <c r="C56" s="106">
        <v>7432.65</v>
      </c>
      <c r="D56" s="106">
        <f t="shared" si="7"/>
        <v>1189.2239999999999</v>
      </c>
      <c r="E56" s="107"/>
      <c r="F56" s="106">
        <f t="shared" si="8"/>
        <v>8621.8739999999998</v>
      </c>
      <c r="G56" s="107"/>
      <c r="H56" s="107"/>
      <c r="I56" s="32"/>
      <c r="J56" s="32"/>
      <c r="K56" s="104" t="s">
        <v>81</v>
      </c>
      <c r="L56" s="108" t="s">
        <v>82</v>
      </c>
      <c r="M56" s="109" t="s">
        <v>182</v>
      </c>
      <c r="N56" s="36" t="s">
        <v>167</v>
      </c>
      <c r="O56" s="105">
        <v>46066</v>
      </c>
      <c r="P56" s="105">
        <v>46081</v>
      </c>
      <c r="Q56" s="42" t="str">
        <f t="shared" ca="1" si="9"/>
        <v>PAGADO</v>
      </c>
      <c r="R56" s="42" t="str">
        <f t="shared" ca="1" si="10"/>
        <v>REVISIÓN</v>
      </c>
      <c r="S56" s="34"/>
      <c r="V56" s="44"/>
      <c r="W56" s="44"/>
      <c r="X56" s="44"/>
    </row>
    <row r="57" spans="1:24" ht="14.65" customHeight="1" x14ac:dyDescent="0.45">
      <c r="A57" s="104">
        <v>2269</v>
      </c>
      <c r="B57" s="105">
        <v>46066</v>
      </c>
      <c r="C57" s="106">
        <v>70000</v>
      </c>
      <c r="D57" s="106">
        <f t="shared" si="7"/>
        <v>11200</v>
      </c>
      <c r="E57" s="107"/>
      <c r="F57" s="106">
        <f t="shared" si="8"/>
        <v>81200</v>
      </c>
      <c r="G57" s="107"/>
      <c r="H57" s="107"/>
      <c r="I57" s="32"/>
      <c r="J57" s="32"/>
      <c r="K57" s="104" t="s">
        <v>118</v>
      </c>
      <c r="L57" s="109" t="s">
        <v>119</v>
      </c>
      <c r="M57" s="109" t="s">
        <v>267</v>
      </c>
      <c r="N57" s="112" t="s">
        <v>183</v>
      </c>
      <c r="O57" s="105">
        <v>46066</v>
      </c>
      <c r="P57" s="105">
        <v>46081</v>
      </c>
      <c r="Q57" s="42" t="str">
        <f t="shared" ca="1" si="9"/>
        <v>PAGADO</v>
      </c>
      <c r="R57" s="42" t="str">
        <f t="shared" ca="1" si="10"/>
        <v>REVISIÓN</v>
      </c>
      <c r="S57" s="34"/>
      <c r="V57" s="44"/>
      <c r="W57" s="44"/>
      <c r="X57" s="44"/>
    </row>
    <row r="58" spans="1:24" ht="14.65" hidden="1" customHeight="1" x14ac:dyDescent="0.45">
      <c r="A58" s="104">
        <v>2270</v>
      </c>
      <c r="B58" s="105">
        <v>46069</v>
      </c>
      <c r="C58" s="106">
        <v>5574.49</v>
      </c>
      <c r="D58" s="106">
        <f t="shared" si="7"/>
        <v>891.91840000000002</v>
      </c>
      <c r="E58" s="107"/>
      <c r="F58" s="106">
        <f t="shared" si="8"/>
        <v>6466.4084000000003</v>
      </c>
      <c r="G58" s="107"/>
      <c r="H58" s="107"/>
      <c r="I58" s="32"/>
      <c r="J58" s="32"/>
      <c r="K58" s="104" t="s">
        <v>81</v>
      </c>
      <c r="L58" s="108" t="s">
        <v>82</v>
      </c>
      <c r="M58" s="109" t="s">
        <v>184</v>
      </c>
      <c r="N58" s="36" t="s">
        <v>167</v>
      </c>
      <c r="O58" s="105">
        <v>46069</v>
      </c>
      <c r="P58" s="105">
        <v>46084</v>
      </c>
      <c r="Q58" s="42" t="str">
        <f t="shared" ca="1" si="9"/>
        <v>PAGADO</v>
      </c>
      <c r="R58" s="42">
        <v>46094</v>
      </c>
      <c r="S58" s="34"/>
      <c r="V58" s="44"/>
      <c r="W58" s="44"/>
      <c r="X58" s="44"/>
    </row>
    <row r="59" spans="1:24" ht="14.65" hidden="1" customHeight="1" x14ac:dyDescent="0.45">
      <c r="A59" s="104">
        <v>2271</v>
      </c>
      <c r="B59" s="105">
        <v>46069</v>
      </c>
      <c r="C59" s="106">
        <v>10062</v>
      </c>
      <c r="D59" s="106">
        <f t="shared" si="7"/>
        <v>1609.92</v>
      </c>
      <c r="E59" s="107"/>
      <c r="F59" s="106">
        <f t="shared" si="8"/>
        <v>11671.92</v>
      </c>
      <c r="G59" s="107"/>
      <c r="H59" s="107"/>
      <c r="I59" s="32"/>
      <c r="J59" s="32"/>
      <c r="K59" s="104" t="s">
        <v>81</v>
      </c>
      <c r="L59" s="108" t="s">
        <v>82</v>
      </c>
      <c r="M59" s="109" t="s">
        <v>185</v>
      </c>
      <c r="N59" s="36" t="s">
        <v>116</v>
      </c>
      <c r="O59" s="105">
        <v>46069</v>
      </c>
      <c r="P59" s="105">
        <v>46084</v>
      </c>
      <c r="Q59" s="42" t="str">
        <f t="shared" ca="1" si="9"/>
        <v>PAGADO</v>
      </c>
      <c r="R59" s="42">
        <v>46107</v>
      </c>
      <c r="S59" s="34"/>
      <c r="V59" s="44"/>
      <c r="W59" s="44"/>
      <c r="X59" s="44"/>
    </row>
    <row r="60" spans="1:24" ht="14.65" hidden="1" customHeight="1" x14ac:dyDescent="0.45">
      <c r="A60" s="104">
        <v>2272</v>
      </c>
      <c r="B60" s="105">
        <v>46071</v>
      </c>
      <c r="C60" s="106">
        <v>110000</v>
      </c>
      <c r="D60" s="106">
        <f t="shared" si="7"/>
        <v>17600</v>
      </c>
      <c r="E60" s="107"/>
      <c r="F60" s="106">
        <f t="shared" si="8"/>
        <v>127600</v>
      </c>
      <c r="G60" s="107"/>
      <c r="H60" s="107"/>
      <c r="I60" s="32"/>
      <c r="J60" s="32"/>
      <c r="K60" s="104" t="s">
        <v>37</v>
      </c>
      <c r="L60" s="109" t="s">
        <v>49</v>
      </c>
      <c r="M60" s="109" t="s">
        <v>257</v>
      </c>
      <c r="N60" s="38" t="s">
        <v>258</v>
      </c>
      <c r="O60" s="105">
        <v>46071</v>
      </c>
      <c r="P60" s="105">
        <v>46086</v>
      </c>
      <c r="Q60" s="42" t="str">
        <f t="shared" ca="1" si="9"/>
        <v>PAGADO</v>
      </c>
      <c r="R60" s="42" t="str">
        <f t="shared" ca="1" si="10"/>
        <v>REVISIÓN</v>
      </c>
      <c r="S60" s="34"/>
      <c r="V60" s="44"/>
      <c r="W60" s="44"/>
      <c r="X60" s="44"/>
    </row>
    <row r="61" spans="1:24" ht="14.65" hidden="1" customHeight="1" x14ac:dyDescent="0.45">
      <c r="A61" s="104">
        <v>2273</v>
      </c>
      <c r="B61" s="105">
        <v>46072</v>
      </c>
      <c r="C61" s="106" t="s">
        <v>112</v>
      </c>
      <c r="D61" s="106" t="s">
        <v>112</v>
      </c>
      <c r="E61" s="107"/>
      <c r="F61" s="106" t="s">
        <v>112</v>
      </c>
      <c r="G61" s="107"/>
      <c r="H61" s="107"/>
      <c r="I61" s="32"/>
      <c r="J61" s="32"/>
      <c r="K61" s="104" t="s">
        <v>145</v>
      </c>
      <c r="L61" s="108" t="s">
        <v>146</v>
      </c>
      <c r="M61" s="108" t="s">
        <v>259</v>
      </c>
      <c r="N61" s="36" t="s">
        <v>260</v>
      </c>
      <c r="O61" s="105">
        <v>46072</v>
      </c>
      <c r="P61" s="106">
        <v>50000</v>
      </c>
      <c r="Q61" s="42" t="s">
        <v>112</v>
      </c>
      <c r="R61" s="42" t="s">
        <v>112</v>
      </c>
      <c r="S61" s="34"/>
      <c r="V61" s="44"/>
      <c r="W61" s="44"/>
      <c r="X61" s="44"/>
    </row>
    <row r="62" spans="1:24" ht="14.65" hidden="1" customHeight="1" x14ac:dyDescent="0.45">
      <c r="A62" s="104">
        <v>2274</v>
      </c>
      <c r="B62" s="105">
        <v>46072</v>
      </c>
      <c r="C62" s="106">
        <v>20000</v>
      </c>
      <c r="D62" s="106">
        <f t="shared" si="7"/>
        <v>3200</v>
      </c>
      <c r="E62" s="107"/>
      <c r="F62" s="106">
        <f t="shared" si="8"/>
        <v>23200</v>
      </c>
      <c r="G62" s="107"/>
      <c r="H62" s="107"/>
      <c r="I62" s="32"/>
      <c r="J62" s="32"/>
      <c r="K62" s="104" t="s">
        <v>37</v>
      </c>
      <c r="L62" s="109" t="s">
        <v>41</v>
      </c>
      <c r="M62" s="109" t="s">
        <v>261</v>
      </c>
      <c r="N62" s="36" t="s">
        <v>262</v>
      </c>
      <c r="O62" s="105">
        <v>46072</v>
      </c>
      <c r="P62" s="105">
        <v>46087</v>
      </c>
      <c r="Q62" s="42" t="str">
        <f t="shared" ca="1" si="9"/>
        <v>PAGADO</v>
      </c>
      <c r="R62" s="42" t="str">
        <f t="shared" ca="1" si="10"/>
        <v>REVISIÓN</v>
      </c>
      <c r="S62" s="34"/>
      <c r="V62" s="44"/>
      <c r="W62" s="44"/>
      <c r="X62" s="44"/>
    </row>
    <row r="63" spans="1:24" ht="14.65" hidden="1" customHeight="1" x14ac:dyDescent="0.45">
      <c r="A63" s="104">
        <v>2275</v>
      </c>
      <c r="B63" s="105">
        <v>46073</v>
      </c>
      <c r="C63" s="106">
        <v>50000</v>
      </c>
      <c r="D63" s="106">
        <f t="shared" si="7"/>
        <v>8000</v>
      </c>
      <c r="E63" s="107"/>
      <c r="F63" s="106">
        <f t="shared" si="8"/>
        <v>58000</v>
      </c>
      <c r="G63" s="107"/>
      <c r="H63" s="107"/>
      <c r="I63" s="32"/>
      <c r="J63" s="32"/>
      <c r="K63" s="104" t="s">
        <v>145</v>
      </c>
      <c r="L63" s="108" t="s">
        <v>146</v>
      </c>
      <c r="M63" s="108" t="s">
        <v>263</v>
      </c>
      <c r="N63" s="108" t="s">
        <v>263</v>
      </c>
      <c r="O63" s="105">
        <v>46073</v>
      </c>
      <c r="P63" s="105">
        <v>46088</v>
      </c>
      <c r="Q63" s="42" t="str">
        <f t="shared" ca="1" si="9"/>
        <v>PAGADO</v>
      </c>
      <c r="R63" s="42">
        <v>46073</v>
      </c>
      <c r="S63" s="34"/>
      <c r="V63" s="44"/>
      <c r="W63" s="44"/>
      <c r="X63" s="44"/>
    </row>
    <row r="64" spans="1:24" ht="14.65" hidden="1" customHeight="1" x14ac:dyDescent="0.45">
      <c r="A64" s="104">
        <v>2276</v>
      </c>
      <c r="B64" s="105">
        <v>46076</v>
      </c>
      <c r="C64" s="106">
        <v>22.12</v>
      </c>
      <c r="D64" s="106">
        <f t="shared" si="4"/>
        <v>3.5392000000000001</v>
      </c>
      <c r="E64" s="107"/>
      <c r="F64" s="106">
        <f t="shared" si="5"/>
        <v>25.659200000000002</v>
      </c>
      <c r="G64" s="107"/>
      <c r="H64" s="107"/>
      <c r="I64" s="32"/>
      <c r="J64" s="32"/>
      <c r="K64" s="104" t="s">
        <v>81</v>
      </c>
      <c r="L64" s="108" t="s">
        <v>82</v>
      </c>
      <c r="M64" s="109" t="s">
        <v>268</v>
      </c>
      <c r="N64" s="36" t="s">
        <v>143</v>
      </c>
      <c r="O64" s="105">
        <v>46076</v>
      </c>
      <c r="P64" s="105">
        <v>46091</v>
      </c>
      <c r="Q64" s="42" t="str">
        <f t="shared" ca="1" si="6"/>
        <v>PAGADO</v>
      </c>
      <c r="R64" s="42">
        <v>46106</v>
      </c>
      <c r="S64" s="34"/>
      <c r="V64" s="44"/>
      <c r="W64" s="44"/>
      <c r="X64" s="44"/>
    </row>
    <row r="65" spans="1:24" ht="14.65" hidden="1" customHeight="1" x14ac:dyDescent="0.45">
      <c r="A65" s="104">
        <v>2277</v>
      </c>
      <c r="B65" s="105">
        <v>46077</v>
      </c>
      <c r="C65" s="106" t="s">
        <v>112</v>
      </c>
      <c r="D65" s="106" t="s">
        <v>112</v>
      </c>
      <c r="E65" s="107"/>
      <c r="F65" s="106" t="s">
        <v>112</v>
      </c>
      <c r="G65" s="107"/>
      <c r="H65" s="107"/>
      <c r="I65" s="32"/>
      <c r="J65" s="32"/>
      <c r="K65" s="104" t="s">
        <v>81</v>
      </c>
      <c r="L65" s="108" t="s">
        <v>82</v>
      </c>
      <c r="M65" s="109" t="s">
        <v>269</v>
      </c>
      <c r="N65" s="36" t="s">
        <v>167</v>
      </c>
      <c r="O65" s="105">
        <v>46077</v>
      </c>
      <c r="P65" s="114">
        <v>11150</v>
      </c>
      <c r="Q65" s="42" t="s">
        <v>112</v>
      </c>
      <c r="R65" s="42" t="s">
        <v>112</v>
      </c>
      <c r="S65" s="34"/>
      <c r="V65" s="44"/>
      <c r="W65" s="44"/>
      <c r="X65" s="44"/>
    </row>
    <row r="66" spans="1:24" ht="14.65" hidden="1" customHeight="1" x14ac:dyDescent="0.45">
      <c r="A66" s="104">
        <v>2278</v>
      </c>
      <c r="B66" s="105">
        <v>46077</v>
      </c>
      <c r="C66" s="106">
        <v>11150</v>
      </c>
      <c r="D66" s="106">
        <f t="shared" ref="D66:D74" si="11">+C66*0.16</f>
        <v>1784</v>
      </c>
      <c r="E66" s="107"/>
      <c r="F66" s="106">
        <f t="shared" ref="F66:F74" si="12">+C66+D66</f>
        <v>12934</v>
      </c>
      <c r="G66" s="107"/>
      <c r="H66" s="107"/>
      <c r="I66" s="32"/>
      <c r="J66" s="32"/>
      <c r="K66" s="104" t="s">
        <v>81</v>
      </c>
      <c r="L66" s="108" t="s">
        <v>82</v>
      </c>
      <c r="M66" s="109" t="s">
        <v>270</v>
      </c>
      <c r="N66" s="36" t="s">
        <v>172</v>
      </c>
      <c r="O66" s="105">
        <v>46077</v>
      </c>
      <c r="P66" s="105">
        <v>46092</v>
      </c>
      <c r="Q66" s="42" t="str">
        <f t="shared" ref="Q66:Q74" ca="1" si="13">IF(AND(R66&lt;&gt;"",P66&lt;$T$1),"PAGADO","ON TRACK")</f>
        <v>PAGADO</v>
      </c>
      <c r="R66" s="42">
        <v>46106</v>
      </c>
      <c r="S66" s="34"/>
      <c r="V66" s="44"/>
      <c r="W66" s="44"/>
      <c r="X66" s="44"/>
    </row>
    <row r="67" spans="1:24" ht="14.65" hidden="1" customHeight="1" x14ac:dyDescent="0.45">
      <c r="A67" s="104">
        <v>2279</v>
      </c>
      <c r="B67" s="105">
        <v>46077</v>
      </c>
      <c r="C67" s="106">
        <v>18763.560000000001</v>
      </c>
      <c r="D67" s="106">
        <f t="shared" si="11"/>
        <v>3002.1696000000002</v>
      </c>
      <c r="E67" s="107"/>
      <c r="F67" s="106">
        <f t="shared" si="12"/>
        <v>21765.729600000002</v>
      </c>
      <c r="G67" s="107"/>
      <c r="H67" s="107"/>
      <c r="I67" s="32"/>
      <c r="J67" s="32"/>
      <c r="K67" s="104" t="s">
        <v>81</v>
      </c>
      <c r="L67" s="108" t="s">
        <v>82</v>
      </c>
      <c r="M67" s="109" t="s">
        <v>271</v>
      </c>
      <c r="N67" s="36" t="s">
        <v>116</v>
      </c>
      <c r="O67" s="105">
        <v>46077</v>
      </c>
      <c r="P67" s="105">
        <v>46092</v>
      </c>
      <c r="Q67" s="42" t="str">
        <f t="shared" ca="1" si="13"/>
        <v>PAGADO</v>
      </c>
      <c r="R67" s="42">
        <v>46106</v>
      </c>
      <c r="S67" s="34"/>
      <c r="V67" s="44"/>
      <c r="W67" s="44"/>
      <c r="X67" s="44"/>
    </row>
    <row r="68" spans="1:24" ht="14.65" hidden="1" customHeight="1" x14ac:dyDescent="0.45">
      <c r="A68" s="104">
        <v>2280</v>
      </c>
      <c r="B68" s="105">
        <v>46077</v>
      </c>
      <c r="C68" s="106" t="s">
        <v>112</v>
      </c>
      <c r="D68" s="106" t="s">
        <v>112</v>
      </c>
      <c r="E68" s="107"/>
      <c r="F68" s="106" t="s">
        <v>112</v>
      </c>
      <c r="G68" s="107"/>
      <c r="H68" s="107"/>
      <c r="I68" s="32"/>
      <c r="J68" s="32"/>
      <c r="K68" s="104" t="s">
        <v>81</v>
      </c>
      <c r="L68" s="108" t="s">
        <v>82</v>
      </c>
      <c r="M68" s="109" t="s">
        <v>272</v>
      </c>
      <c r="N68" s="112" t="s">
        <v>273</v>
      </c>
      <c r="O68" s="105">
        <v>46077</v>
      </c>
      <c r="P68" s="114">
        <v>15000</v>
      </c>
      <c r="Q68" s="42" t="str">
        <f t="shared" ca="1" si="13"/>
        <v>PAGADO</v>
      </c>
      <c r="R68" s="42" t="str">
        <f t="shared" ref="R68:R73" ca="1" si="14">IF(P68&gt;(TODAY()),"","REVISIÓN")</f>
        <v>REVISIÓN</v>
      </c>
      <c r="S68" s="34"/>
      <c r="V68" s="44"/>
      <c r="W68" s="44"/>
      <c r="X68" s="44"/>
    </row>
    <row r="69" spans="1:24" ht="14.65" hidden="1" customHeight="1" x14ac:dyDescent="0.45">
      <c r="A69" s="104">
        <v>2281</v>
      </c>
      <c r="B69" s="105">
        <v>46077</v>
      </c>
      <c r="C69" s="106">
        <v>4000</v>
      </c>
      <c r="D69" s="106">
        <f t="shared" si="11"/>
        <v>640</v>
      </c>
      <c r="E69" s="107"/>
      <c r="F69" s="106">
        <f t="shared" si="12"/>
        <v>4640</v>
      </c>
      <c r="G69" s="107"/>
      <c r="H69" s="107"/>
      <c r="I69" s="32"/>
      <c r="J69" s="32"/>
      <c r="K69" s="104" t="s">
        <v>81</v>
      </c>
      <c r="L69" s="108" t="s">
        <v>82</v>
      </c>
      <c r="M69" s="109" t="s">
        <v>276</v>
      </c>
      <c r="N69" s="36" t="s">
        <v>180</v>
      </c>
      <c r="O69" s="105">
        <v>46077</v>
      </c>
      <c r="P69" s="105">
        <v>46092</v>
      </c>
      <c r="Q69" s="42" t="str">
        <f t="shared" ca="1" si="13"/>
        <v>PAGADO</v>
      </c>
      <c r="R69" s="42">
        <v>46106</v>
      </c>
      <c r="S69" s="34"/>
      <c r="V69" s="44"/>
      <c r="W69" s="44"/>
      <c r="X69" s="44"/>
    </row>
    <row r="70" spans="1:24" ht="14.65" hidden="1" customHeight="1" x14ac:dyDescent="0.45">
      <c r="A70" s="104">
        <v>2282</v>
      </c>
      <c r="B70" s="105">
        <v>46077</v>
      </c>
      <c r="C70" s="106">
        <v>25090</v>
      </c>
      <c r="D70" s="106">
        <f t="shared" si="11"/>
        <v>4014.4</v>
      </c>
      <c r="E70" s="107"/>
      <c r="F70" s="106">
        <f t="shared" si="12"/>
        <v>29104.400000000001</v>
      </c>
      <c r="G70" s="107"/>
      <c r="H70" s="107"/>
      <c r="I70" s="32"/>
      <c r="J70" s="32"/>
      <c r="K70" s="104" t="s">
        <v>81</v>
      </c>
      <c r="L70" s="108" t="s">
        <v>82</v>
      </c>
      <c r="M70" s="109" t="s">
        <v>277</v>
      </c>
      <c r="N70" s="112" t="s">
        <v>278</v>
      </c>
      <c r="O70" s="105">
        <v>46077</v>
      </c>
      <c r="P70" s="105">
        <v>46092</v>
      </c>
      <c r="Q70" s="42" t="str">
        <f t="shared" ca="1" si="13"/>
        <v>PAGADO</v>
      </c>
      <c r="R70" s="42" t="str">
        <f t="shared" ca="1" si="14"/>
        <v>REVISIÓN</v>
      </c>
      <c r="S70" s="34"/>
      <c r="V70" s="44"/>
      <c r="W70" s="44"/>
      <c r="X70" s="44"/>
    </row>
    <row r="71" spans="1:24" ht="14.65" hidden="1" customHeight="1" x14ac:dyDescent="0.45">
      <c r="A71" s="104">
        <v>2283</v>
      </c>
      <c r="B71" s="105">
        <v>46077</v>
      </c>
      <c r="C71" s="106">
        <v>20699.810000000001</v>
      </c>
      <c r="D71" s="106">
        <f t="shared" si="11"/>
        <v>3311.9696000000004</v>
      </c>
      <c r="E71" s="107"/>
      <c r="F71" s="106">
        <f t="shared" si="12"/>
        <v>24011.779600000002</v>
      </c>
      <c r="G71" s="107"/>
      <c r="H71" s="107"/>
      <c r="I71" s="32"/>
      <c r="J71" s="32"/>
      <c r="K71" s="104" t="s">
        <v>81</v>
      </c>
      <c r="L71" s="108" t="s">
        <v>82</v>
      </c>
      <c r="M71" s="109" t="s">
        <v>279</v>
      </c>
      <c r="N71" s="112" t="s">
        <v>280</v>
      </c>
      <c r="O71" s="105">
        <v>46077</v>
      </c>
      <c r="P71" s="105">
        <v>46092</v>
      </c>
      <c r="Q71" s="42" t="str">
        <f t="shared" ca="1" si="13"/>
        <v>PAGADO</v>
      </c>
      <c r="R71" s="42" t="str">
        <f t="shared" ca="1" si="14"/>
        <v>REVISIÓN</v>
      </c>
      <c r="S71" s="34"/>
      <c r="V71" s="44"/>
      <c r="W71" s="44"/>
      <c r="X71" s="44"/>
    </row>
    <row r="72" spans="1:24" ht="14.65" hidden="1" customHeight="1" x14ac:dyDescent="0.45">
      <c r="A72" s="104">
        <v>2284</v>
      </c>
      <c r="B72" s="105">
        <v>46077</v>
      </c>
      <c r="C72" s="106">
        <v>120702.63</v>
      </c>
      <c r="D72" s="106">
        <f t="shared" si="11"/>
        <v>19312.4208</v>
      </c>
      <c r="E72" s="107"/>
      <c r="F72" s="106">
        <f t="shared" si="12"/>
        <v>140015.0508</v>
      </c>
      <c r="G72" s="107"/>
      <c r="H72" s="107"/>
      <c r="I72" s="32"/>
      <c r="J72" s="32"/>
      <c r="K72" s="104" t="s">
        <v>81</v>
      </c>
      <c r="L72" s="108" t="s">
        <v>82</v>
      </c>
      <c r="M72" s="109" t="s">
        <v>281</v>
      </c>
      <c r="N72" s="112" t="s">
        <v>282</v>
      </c>
      <c r="O72" s="105">
        <v>46077</v>
      </c>
      <c r="P72" s="105">
        <v>46092</v>
      </c>
      <c r="Q72" s="42" t="str">
        <f t="shared" ca="1" si="13"/>
        <v>PAGADO</v>
      </c>
      <c r="R72" s="42" t="str">
        <f t="shared" ca="1" si="14"/>
        <v>REVISIÓN</v>
      </c>
      <c r="S72" s="34"/>
      <c r="V72" s="44"/>
      <c r="W72" s="44"/>
      <c r="X72" s="44"/>
    </row>
    <row r="73" spans="1:24" ht="14.65" hidden="1" customHeight="1" x14ac:dyDescent="0.45">
      <c r="A73" s="104">
        <v>2285</v>
      </c>
      <c r="B73" s="105">
        <v>46077</v>
      </c>
      <c r="C73" s="106">
        <v>90526.97</v>
      </c>
      <c r="D73" s="106">
        <f t="shared" si="11"/>
        <v>14484.315200000001</v>
      </c>
      <c r="E73" s="107"/>
      <c r="F73" s="106">
        <f t="shared" si="12"/>
        <v>105011.2852</v>
      </c>
      <c r="G73" s="107"/>
      <c r="H73" s="107"/>
      <c r="I73" s="32"/>
      <c r="J73" s="32"/>
      <c r="K73" s="104" t="s">
        <v>81</v>
      </c>
      <c r="L73" s="108" t="s">
        <v>82</v>
      </c>
      <c r="M73" s="109" t="s">
        <v>283</v>
      </c>
      <c r="N73" s="112" t="s">
        <v>284</v>
      </c>
      <c r="O73" s="105">
        <v>46077</v>
      </c>
      <c r="P73" s="105">
        <v>46092</v>
      </c>
      <c r="Q73" s="42" t="str">
        <f t="shared" ca="1" si="13"/>
        <v>PAGADO</v>
      </c>
      <c r="R73" s="42" t="str">
        <f t="shared" ca="1" si="14"/>
        <v>REVISIÓN</v>
      </c>
      <c r="S73" s="34"/>
      <c r="V73" s="44"/>
      <c r="W73" s="44"/>
      <c r="X73" s="44"/>
    </row>
    <row r="74" spans="1:24" ht="14.65" hidden="1" customHeight="1" x14ac:dyDescent="0.45">
      <c r="A74" s="104">
        <v>2286</v>
      </c>
      <c r="B74" s="105">
        <v>46078</v>
      </c>
      <c r="C74" s="106">
        <v>8442.5</v>
      </c>
      <c r="D74" s="106">
        <f t="shared" si="11"/>
        <v>1350.8</v>
      </c>
      <c r="E74" s="107"/>
      <c r="F74" s="106">
        <f t="shared" si="12"/>
        <v>9793.2999999999993</v>
      </c>
      <c r="G74" s="107"/>
      <c r="H74" s="107"/>
      <c r="I74" s="32"/>
      <c r="J74" s="32"/>
      <c r="K74" s="104" t="s">
        <v>81</v>
      </c>
      <c r="L74" s="108" t="s">
        <v>82</v>
      </c>
      <c r="M74" s="109" t="s">
        <v>285</v>
      </c>
      <c r="N74" s="112" t="s">
        <v>286</v>
      </c>
      <c r="O74" s="105">
        <v>46078</v>
      </c>
      <c r="P74" s="105">
        <v>46093</v>
      </c>
      <c r="Q74" s="42" t="str">
        <f t="shared" ca="1" si="13"/>
        <v>PAGADO</v>
      </c>
      <c r="R74" s="42">
        <v>46106</v>
      </c>
      <c r="S74" s="34"/>
      <c r="V74" s="44"/>
      <c r="W74" s="44"/>
      <c r="X74" s="44"/>
    </row>
    <row r="75" spans="1:24" ht="14.65" hidden="1" customHeight="1" x14ac:dyDescent="0.45">
      <c r="A75" s="104">
        <v>2287</v>
      </c>
      <c r="B75" s="105">
        <v>46078</v>
      </c>
      <c r="C75" s="106">
        <v>30000</v>
      </c>
      <c r="D75" s="106">
        <f t="shared" ref="D75:D94" si="15">+C75*0.16</f>
        <v>4800</v>
      </c>
      <c r="E75" s="107"/>
      <c r="F75" s="106">
        <f t="shared" ref="F75:F94" si="16">+C75+D75</f>
        <v>34800</v>
      </c>
      <c r="G75" s="107"/>
      <c r="H75" s="107"/>
      <c r="I75" s="32"/>
      <c r="J75" s="32"/>
      <c r="K75" s="104" t="s">
        <v>81</v>
      </c>
      <c r="L75" s="108" t="s">
        <v>82</v>
      </c>
      <c r="M75" s="109" t="s">
        <v>287</v>
      </c>
      <c r="N75" s="36" t="s">
        <v>288</v>
      </c>
      <c r="O75" s="105">
        <v>46078</v>
      </c>
      <c r="P75" s="105">
        <v>46093</v>
      </c>
      <c r="Q75" s="42" t="str">
        <f t="shared" ref="Q75:Q94" ca="1" si="17">IF(AND(R75&lt;&gt;"",P75&lt;$T$1),"PAGADO","ON TRACK")</f>
        <v>PAGADO</v>
      </c>
      <c r="R75" s="42">
        <v>46106</v>
      </c>
      <c r="S75" s="34"/>
      <c r="V75" s="44"/>
      <c r="W75" s="44"/>
      <c r="X75" s="44"/>
    </row>
    <row r="76" spans="1:24" ht="14.65" hidden="1" customHeight="1" x14ac:dyDescent="0.45">
      <c r="A76" s="104">
        <v>2288</v>
      </c>
      <c r="B76" s="105">
        <v>46078</v>
      </c>
      <c r="C76" s="106">
        <v>4000</v>
      </c>
      <c r="D76" s="106">
        <f t="shared" si="15"/>
        <v>640</v>
      </c>
      <c r="E76" s="107"/>
      <c r="F76" s="106">
        <f t="shared" si="16"/>
        <v>4640</v>
      </c>
      <c r="G76" s="107"/>
      <c r="H76" s="107"/>
      <c r="I76" s="32"/>
      <c r="J76" s="32"/>
      <c r="K76" s="104" t="s">
        <v>81</v>
      </c>
      <c r="L76" s="108" t="s">
        <v>82</v>
      </c>
      <c r="M76" s="109" t="s">
        <v>289</v>
      </c>
      <c r="N76" s="36" t="s">
        <v>180</v>
      </c>
      <c r="O76" s="105">
        <v>46078</v>
      </c>
      <c r="P76" s="105">
        <v>46093</v>
      </c>
      <c r="Q76" s="42" t="str">
        <f t="shared" ca="1" si="17"/>
        <v>PAGADO</v>
      </c>
      <c r="R76" s="42">
        <v>46098</v>
      </c>
      <c r="S76" s="34"/>
      <c r="V76" s="44"/>
      <c r="W76" s="44"/>
      <c r="X76" s="44"/>
    </row>
    <row r="77" spans="1:24" ht="14.65" hidden="1" customHeight="1" x14ac:dyDescent="0.45">
      <c r="A77" s="104">
        <v>2289</v>
      </c>
      <c r="B77" s="105">
        <v>46078</v>
      </c>
      <c r="C77" s="106">
        <v>10000</v>
      </c>
      <c r="D77" s="106">
        <f t="shared" si="15"/>
        <v>1600</v>
      </c>
      <c r="E77" s="107"/>
      <c r="F77" s="106">
        <f t="shared" si="16"/>
        <v>11600</v>
      </c>
      <c r="G77" s="107"/>
      <c r="H77" s="107"/>
      <c r="I77" s="32"/>
      <c r="J77" s="32"/>
      <c r="K77" s="104" t="s">
        <v>81</v>
      </c>
      <c r="L77" s="108" t="s">
        <v>82</v>
      </c>
      <c r="M77" s="109" t="s">
        <v>274</v>
      </c>
      <c r="N77" s="112" t="s">
        <v>275</v>
      </c>
      <c r="O77" s="105">
        <v>46078</v>
      </c>
      <c r="P77" s="105">
        <v>46093</v>
      </c>
      <c r="Q77" s="42" t="str">
        <f t="shared" ca="1" si="17"/>
        <v>PAGADO</v>
      </c>
      <c r="R77" s="42">
        <v>46106</v>
      </c>
      <c r="S77" s="34"/>
      <c r="V77" s="44"/>
      <c r="W77" s="44"/>
      <c r="X77" s="44"/>
    </row>
    <row r="78" spans="1:24" ht="14.65" hidden="1" customHeight="1" x14ac:dyDescent="0.45">
      <c r="A78" s="104">
        <v>2290</v>
      </c>
      <c r="B78" s="105">
        <v>46080</v>
      </c>
      <c r="C78" s="106">
        <v>125754.04</v>
      </c>
      <c r="D78" s="106">
        <f t="shared" si="15"/>
        <v>20120.646399999998</v>
      </c>
      <c r="E78" s="107"/>
      <c r="F78" s="106">
        <f t="shared" si="16"/>
        <v>145874.68640000001</v>
      </c>
      <c r="G78" s="107"/>
      <c r="H78" s="107"/>
      <c r="I78" s="32"/>
      <c r="J78" s="32"/>
      <c r="K78" s="104" t="s">
        <v>67</v>
      </c>
      <c r="L78" s="109" t="s">
        <v>290</v>
      </c>
      <c r="M78" s="109" t="s">
        <v>291</v>
      </c>
      <c r="N78" s="112" t="s">
        <v>292</v>
      </c>
      <c r="O78" s="105">
        <v>46080</v>
      </c>
      <c r="P78" s="105">
        <v>46095</v>
      </c>
      <c r="Q78" s="42" t="str">
        <f t="shared" ca="1" si="17"/>
        <v>PAGADO</v>
      </c>
      <c r="R78" s="42">
        <v>46101</v>
      </c>
      <c r="S78" s="34"/>
      <c r="V78" s="44"/>
      <c r="W78" s="44"/>
      <c r="X78" s="44"/>
    </row>
    <row r="79" spans="1:24" ht="14.65" hidden="1" customHeight="1" x14ac:dyDescent="0.45">
      <c r="A79" s="104">
        <v>2291</v>
      </c>
      <c r="B79" s="105">
        <v>46079</v>
      </c>
      <c r="C79" s="106">
        <v>85000</v>
      </c>
      <c r="D79" s="106">
        <f t="shared" si="15"/>
        <v>13600</v>
      </c>
      <c r="E79" s="107"/>
      <c r="F79" s="106">
        <f t="shared" si="16"/>
        <v>98600</v>
      </c>
      <c r="G79" s="107"/>
      <c r="H79" s="107"/>
      <c r="I79" s="32"/>
      <c r="J79" s="32"/>
      <c r="K79" s="104" t="s">
        <v>87</v>
      </c>
      <c r="L79" s="108" t="s">
        <v>88</v>
      </c>
      <c r="M79" s="109" t="s">
        <v>293</v>
      </c>
      <c r="N79" s="112" t="s">
        <v>294</v>
      </c>
      <c r="O79" s="105">
        <v>46079</v>
      </c>
      <c r="P79" s="105">
        <v>46096</v>
      </c>
      <c r="Q79" s="42" t="str">
        <f t="shared" ca="1" si="17"/>
        <v>PAGADO</v>
      </c>
      <c r="R79" s="42">
        <v>46080</v>
      </c>
      <c r="S79" s="34"/>
      <c r="V79" s="44"/>
      <c r="W79" s="44"/>
      <c r="X79" s="44"/>
    </row>
    <row r="80" spans="1:24" ht="14.65" customHeight="1" x14ac:dyDescent="0.45">
      <c r="A80" s="104">
        <v>2292</v>
      </c>
      <c r="B80" s="105">
        <v>46079</v>
      </c>
      <c r="C80" s="106">
        <v>198000</v>
      </c>
      <c r="D80" s="106">
        <f t="shared" si="15"/>
        <v>31680</v>
      </c>
      <c r="E80" s="107"/>
      <c r="F80" s="106">
        <f t="shared" si="16"/>
        <v>229680</v>
      </c>
      <c r="G80" s="107"/>
      <c r="H80" s="107"/>
      <c r="I80" s="32"/>
      <c r="J80" s="32"/>
      <c r="K80" s="104" t="s">
        <v>103</v>
      </c>
      <c r="L80" s="108" t="s">
        <v>104</v>
      </c>
      <c r="M80" s="108" t="s">
        <v>295</v>
      </c>
      <c r="N80" s="38" t="s">
        <v>296</v>
      </c>
      <c r="O80" s="105">
        <v>46079</v>
      </c>
      <c r="P80" s="105">
        <v>46119</v>
      </c>
      <c r="Q80" s="42" t="str">
        <f t="shared" ca="1" si="17"/>
        <v>PAGADO</v>
      </c>
      <c r="R80" s="42" t="str">
        <f t="shared" ref="R80:R93" ca="1" si="18">IF(P80&gt;(TODAY()),"","REVISIÓN")</f>
        <v>REVISIÓN</v>
      </c>
      <c r="S80" s="34"/>
      <c r="V80" s="44"/>
      <c r="W80" s="44"/>
      <c r="X80" s="44"/>
    </row>
    <row r="81" spans="1:24" ht="14.65" hidden="1" customHeight="1" x14ac:dyDescent="0.45">
      <c r="A81" s="104">
        <v>2293</v>
      </c>
      <c r="B81" s="105">
        <v>46080</v>
      </c>
      <c r="C81" s="106">
        <v>174825</v>
      </c>
      <c r="D81" s="106">
        <f t="shared" si="15"/>
        <v>27972</v>
      </c>
      <c r="E81" s="107"/>
      <c r="F81" s="106">
        <f t="shared" si="16"/>
        <v>202797</v>
      </c>
      <c r="G81" s="107"/>
      <c r="H81" s="107"/>
      <c r="I81" s="32"/>
      <c r="J81" s="32"/>
      <c r="K81" s="104" t="s">
        <v>149</v>
      </c>
      <c r="L81" s="108" t="s">
        <v>150</v>
      </c>
      <c r="M81" s="109" t="s">
        <v>297</v>
      </c>
      <c r="N81" s="36" t="s">
        <v>298</v>
      </c>
      <c r="O81" s="105">
        <v>46080</v>
      </c>
      <c r="P81" s="105">
        <v>46106</v>
      </c>
      <c r="Q81" s="42" t="str">
        <f t="shared" ca="1" si="17"/>
        <v>PAGADO</v>
      </c>
      <c r="R81" s="42">
        <v>46106</v>
      </c>
      <c r="S81" s="34"/>
      <c r="V81" s="44"/>
      <c r="W81" s="44"/>
      <c r="X81" s="44"/>
    </row>
    <row r="82" spans="1:24" ht="14.65" customHeight="1" x14ac:dyDescent="0.45">
      <c r="A82" s="104">
        <v>2294</v>
      </c>
      <c r="B82" s="105">
        <v>46083</v>
      </c>
      <c r="C82" s="106">
        <v>50000</v>
      </c>
      <c r="D82" s="106">
        <f t="shared" si="15"/>
        <v>8000</v>
      </c>
      <c r="E82" s="107"/>
      <c r="F82" s="106">
        <f t="shared" si="16"/>
        <v>58000</v>
      </c>
      <c r="G82" s="107"/>
      <c r="H82" s="107"/>
      <c r="I82" s="32"/>
      <c r="J82" s="32"/>
      <c r="K82" s="104" t="s">
        <v>32</v>
      </c>
      <c r="L82" s="108" t="s">
        <v>33</v>
      </c>
      <c r="M82" s="108" t="s">
        <v>159</v>
      </c>
      <c r="N82" s="38" t="s">
        <v>299</v>
      </c>
      <c r="O82" s="105">
        <v>46083</v>
      </c>
      <c r="P82" s="105">
        <v>46098</v>
      </c>
      <c r="Q82" s="42" t="str">
        <f t="shared" ca="1" si="17"/>
        <v>PAGADO</v>
      </c>
      <c r="R82" s="42" t="str">
        <f t="shared" ca="1" si="18"/>
        <v>REVISIÓN</v>
      </c>
      <c r="S82" s="34"/>
      <c r="V82" s="44"/>
      <c r="W82" s="44"/>
      <c r="X82" s="44"/>
    </row>
    <row r="83" spans="1:24" ht="14.65" hidden="1" customHeight="1" x14ac:dyDescent="0.45">
      <c r="A83" s="104">
        <v>2295</v>
      </c>
      <c r="B83" s="105">
        <v>46083</v>
      </c>
      <c r="C83" s="106"/>
      <c r="D83" s="106">
        <f t="shared" si="15"/>
        <v>0</v>
      </c>
      <c r="E83" s="107"/>
      <c r="F83" s="106">
        <f t="shared" si="16"/>
        <v>0</v>
      </c>
      <c r="G83" s="107">
        <v>6000</v>
      </c>
      <c r="H83" s="107">
        <f>G83*0.16</f>
        <v>960</v>
      </c>
      <c r="I83" s="32">
        <f>G83+H83</f>
        <v>6960</v>
      </c>
      <c r="J83" s="110" t="s">
        <v>300</v>
      </c>
      <c r="K83" s="104" t="s">
        <v>31</v>
      </c>
      <c r="L83" s="108" t="s">
        <v>38</v>
      </c>
      <c r="M83" s="108" t="s">
        <v>301</v>
      </c>
      <c r="N83" s="36" t="s">
        <v>302</v>
      </c>
      <c r="O83" s="105">
        <v>46083</v>
      </c>
      <c r="P83" s="105">
        <v>46098</v>
      </c>
      <c r="Q83" s="42" t="str">
        <f t="shared" ca="1" si="17"/>
        <v>PAGADO</v>
      </c>
      <c r="R83" s="42">
        <v>46113</v>
      </c>
      <c r="S83" s="34"/>
      <c r="V83" s="44"/>
      <c r="W83" s="44"/>
      <c r="X83" s="44"/>
    </row>
    <row r="84" spans="1:24" ht="14.65" hidden="1" customHeight="1" x14ac:dyDescent="0.45">
      <c r="A84" s="104">
        <v>2296</v>
      </c>
      <c r="B84" s="105">
        <v>46084</v>
      </c>
      <c r="C84" s="106" t="s">
        <v>112</v>
      </c>
      <c r="D84" s="106" t="s">
        <v>112</v>
      </c>
      <c r="E84" s="107"/>
      <c r="F84" s="106" t="s">
        <v>112</v>
      </c>
      <c r="G84" s="107"/>
      <c r="H84" s="107"/>
      <c r="I84" s="32"/>
      <c r="J84" s="32"/>
      <c r="K84" s="104" t="s">
        <v>31</v>
      </c>
      <c r="L84" s="108" t="s">
        <v>309</v>
      </c>
      <c r="M84" s="108" t="s">
        <v>310</v>
      </c>
      <c r="N84" s="112" t="s">
        <v>311</v>
      </c>
      <c r="O84" s="105">
        <v>46084</v>
      </c>
      <c r="P84" s="114">
        <v>10000</v>
      </c>
      <c r="Q84" s="42" t="s">
        <v>112</v>
      </c>
      <c r="R84" s="42" t="s">
        <v>112</v>
      </c>
      <c r="S84" s="34"/>
      <c r="V84" s="44"/>
      <c r="W84" s="44"/>
      <c r="X84" s="44"/>
    </row>
    <row r="85" spans="1:24" ht="14.65" hidden="1" customHeight="1" x14ac:dyDescent="0.45">
      <c r="A85" s="104">
        <v>2297</v>
      </c>
      <c r="B85" s="105">
        <v>46084</v>
      </c>
      <c r="C85" s="106"/>
      <c r="D85" s="106"/>
      <c r="E85" s="107"/>
      <c r="F85" s="106"/>
      <c r="G85" s="107">
        <v>10000</v>
      </c>
      <c r="H85" s="107">
        <f>G85*0.16</f>
        <v>1600</v>
      </c>
      <c r="I85" s="32">
        <f>G85+H85</f>
        <v>11600</v>
      </c>
      <c r="J85" s="110" t="s">
        <v>312</v>
      </c>
      <c r="K85" s="104" t="s">
        <v>31</v>
      </c>
      <c r="L85" s="108" t="s">
        <v>309</v>
      </c>
      <c r="M85" s="108" t="s">
        <v>313</v>
      </c>
      <c r="N85" s="36" t="s">
        <v>369</v>
      </c>
      <c r="O85" s="105">
        <v>46084</v>
      </c>
      <c r="P85" s="105">
        <v>46099</v>
      </c>
      <c r="Q85" s="42" t="str">
        <f t="shared" ca="1" si="17"/>
        <v>PAGADO</v>
      </c>
      <c r="R85" s="42">
        <v>46100</v>
      </c>
      <c r="S85" s="34" t="s">
        <v>308</v>
      </c>
      <c r="T85" s="43" t="s">
        <v>373</v>
      </c>
      <c r="U85" s="43">
        <v>7200</v>
      </c>
      <c r="V85" s="44"/>
      <c r="W85" s="44"/>
      <c r="X85" s="44"/>
    </row>
    <row r="86" spans="1:24" ht="14.65" hidden="1" customHeight="1" x14ac:dyDescent="0.45">
      <c r="A86" s="104">
        <v>2298</v>
      </c>
      <c r="B86" s="105">
        <v>46084</v>
      </c>
      <c r="C86" s="106"/>
      <c r="D86" s="106"/>
      <c r="E86" s="107"/>
      <c r="F86" s="106"/>
      <c r="G86" s="107">
        <v>3259.6</v>
      </c>
      <c r="H86" s="107">
        <f>G86*0.16</f>
        <v>521.53599999999994</v>
      </c>
      <c r="I86" s="32">
        <f>H86+G86</f>
        <v>3781.136</v>
      </c>
      <c r="J86" s="110" t="s">
        <v>312</v>
      </c>
      <c r="K86" s="104" t="s">
        <v>31</v>
      </c>
      <c r="L86" s="108" t="s">
        <v>70</v>
      </c>
      <c r="M86" s="108" t="s">
        <v>314</v>
      </c>
      <c r="N86" s="36" t="s">
        <v>370</v>
      </c>
      <c r="O86" s="105">
        <v>46084</v>
      </c>
      <c r="P86" s="105">
        <v>46106</v>
      </c>
      <c r="Q86" s="42" t="str">
        <f t="shared" ca="1" si="17"/>
        <v>PAGADO</v>
      </c>
      <c r="R86" s="42">
        <v>46108</v>
      </c>
      <c r="S86" s="34" t="s">
        <v>386</v>
      </c>
      <c r="V86" s="44"/>
      <c r="W86" s="44"/>
      <c r="X86" s="44"/>
    </row>
    <row r="87" spans="1:24" ht="14.65" hidden="1" customHeight="1" x14ac:dyDescent="0.45">
      <c r="A87" s="104">
        <v>2299</v>
      </c>
      <c r="B87" s="105">
        <v>46084</v>
      </c>
      <c r="C87" s="106">
        <v>21520.66</v>
      </c>
      <c r="D87" s="106">
        <f>+C87*0.16</f>
        <v>3443.3056000000001</v>
      </c>
      <c r="E87" s="107"/>
      <c r="F87" s="106">
        <f t="shared" si="16"/>
        <v>24963.9656</v>
      </c>
      <c r="G87" s="107"/>
      <c r="H87" s="107"/>
      <c r="I87" s="32"/>
      <c r="J87" s="32"/>
      <c r="K87" s="104" t="s">
        <v>81</v>
      </c>
      <c r="L87" s="108" t="s">
        <v>82</v>
      </c>
      <c r="M87" s="109" t="s">
        <v>315</v>
      </c>
      <c r="N87" s="112" t="s">
        <v>316</v>
      </c>
      <c r="O87" s="105">
        <v>46084</v>
      </c>
      <c r="P87" s="105">
        <v>46099</v>
      </c>
      <c r="Q87" s="42" t="str">
        <f t="shared" ca="1" si="17"/>
        <v>PAGADO</v>
      </c>
      <c r="R87" s="42">
        <v>46107</v>
      </c>
      <c r="S87" s="34"/>
      <c r="V87" s="44"/>
      <c r="W87" s="44"/>
      <c r="X87" s="44"/>
    </row>
    <row r="88" spans="1:24" ht="14.65" hidden="1" customHeight="1" x14ac:dyDescent="0.45">
      <c r="A88" s="104">
        <v>2300</v>
      </c>
      <c r="B88" s="105">
        <v>46099</v>
      </c>
      <c r="C88" s="106">
        <v>182000</v>
      </c>
      <c r="D88" s="106">
        <f t="shared" si="15"/>
        <v>29120</v>
      </c>
      <c r="E88" s="107"/>
      <c r="F88" s="106">
        <f t="shared" si="16"/>
        <v>211120</v>
      </c>
      <c r="G88" s="107"/>
      <c r="H88" s="107"/>
      <c r="I88" s="32"/>
      <c r="J88" s="32"/>
      <c r="K88" s="104" t="s">
        <v>317</v>
      </c>
      <c r="L88" s="109" t="s">
        <v>318</v>
      </c>
      <c r="M88" s="109" t="s">
        <v>319</v>
      </c>
      <c r="N88" s="112" t="s">
        <v>371</v>
      </c>
      <c r="O88" s="105">
        <v>46084</v>
      </c>
      <c r="P88" s="105">
        <v>46112</v>
      </c>
      <c r="Q88" s="42" t="str">
        <f t="shared" ca="1" si="17"/>
        <v>PAGADO</v>
      </c>
      <c r="R88" s="42">
        <v>46107</v>
      </c>
      <c r="S88" s="34"/>
      <c r="V88" s="44"/>
      <c r="W88" s="44"/>
      <c r="X88" s="44"/>
    </row>
    <row r="89" spans="1:24" ht="14.65" hidden="1" customHeight="1" x14ac:dyDescent="0.45">
      <c r="A89" s="104">
        <v>2301</v>
      </c>
      <c r="B89" s="105">
        <v>46099</v>
      </c>
      <c r="C89" s="106">
        <v>78000</v>
      </c>
      <c r="D89" s="106">
        <f t="shared" si="15"/>
        <v>12480</v>
      </c>
      <c r="E89" s="107"/>
      <c r="F89" s="106">
        <f t="shared" si="16"/>
        <v>90480</v>
      </c>
      <c r="G89" s="107"/>
      <c r="H89" s="107"/>
      <c r="I89" s="32"/>
      <c r="J89" s="32"/>
      <c r="K89" s="104" t="s">
        <v>320</v>
      </c>
      <c r="L89" s="109" t="s">
        <v>321</v>
      </c>
      <c r="M89" s="109" t="s">
        <v>322</v>
      </c>
      <c r="N89" s="112" t="s">
        <v>372</v>
      </c>
      <c r="O89" s="105">
        <v>46099</v>
      </c>
      <c r="P89" s="105">
        <v>46112</v>
      </c>
      <c r="Q89" s="42" t="str">
        <f t="shared" ca="1" si="17"/>
        <v>PAGADO</v>
      </c>
      <c r="R89" s="42">
        <v>46107</v>
      </c>
      <c r="S89" s="34"/>
      <c r="V89" s="44"/>
      <c r="W89" s="44"/>
      <c r="X89" s="44"/>
    </row>
    <row r="90" spans="1:24" ht="14.65" hidden="1" customHeight="1" x14ac:dyDescent="0.45">
      <c r="A90" s="104">
        <v>2302</v>
      </c>
      <c r="B90" s="105">
        <v>46085</v>
      </c>
      <c r="C90" s="106">
        <v>37172.58</v>
      </c>
      <c r="D90" s="106">
        <f t="shared" si="15"/>
        <v>5947.6128000000008</v>
      </c>
      <c r="E90" s="107"/>
      <c r="F90" s="106">
        <f t="shared" si="16"/>
        <v>43120.192800000004</v>
      </c>
      <c r="G90" s="107"/>
      <c r="H90" s="107"/>
      <c r="I90" s="32"/>
      <c r="J90" s="32"/>
      <c r="K90" s="104" t="s">
        <v>81</v>
      </c>
      <c r="L90" s="108" t="s">
        <v>82</v>
      </c>
      <c r="M90" s="109" t="s">
        <v>323</v>
      </c>
      <c r="N90" s="112" t="s">
        <v>178</v>
      </c>
      <c r="O90" s="105">
        <v>46085</v>
      </c>
      <c r="P90" s="105">
        <v>46100</v>
      </c>
      <c r="Q90" s="42" t="str">
        <f t="shared" ca="1" si="17"/>
        <v>PAGADO</v>
      </c>
      <c r="R90" s="42" t="str">
        <f t="shared" ca="1" si="18"/>
        <v>REVISIÓN</v>
      </c>
      <c r="S90" s="34"/>
      <c r="V90" s="44"/>
      <c r="W90" s="44"/>
      <c r="X90" s="44"/>
    </row>
    <row r="91" spans="1:24" ht="14.65" hidden="1" customHeight="1" x14ac:dyDescent="0.45">
      <c r="A91" s="104">
        <v>2303</v>
      </c>
      <c r="B91" s="105">
        <v>46085</v>
      </c>
      <c r="C91" s="106">
        <v>14500</v>
      </c>
      <c r="D91" s="106">
        <f t="shared" si="15"/>
        <v>2320</v>
      </c>
      <c r="E91" s="107"/>
      <c r="F91" s="106">
        <f t="shared" si="16"/>
        <v>16820</v>
      </c>
      <c r="G91" s="107"/>
      <c r="H91" s="107"/>
      <c r="I91" s="32"/>
      <c r="J91" s="32"/>
      <c r="K91" s="104" t="s">
        <v>81</v>
      </c>
      <c r="L91" s="108" t="s">
        <v>82</v>
      </c>
      <c r="M91" s="109" t="s">
        <v>324</v>
      </c>
      <c r="N91" s="36" t="s">
        <v>288</v>
      </c>
      <c r="O91" s="105">
        <v>46085</v>
      </c>
      <c r="P91" s="105">
        <v>46100</v>
      </c>
      <c r="Q91" s="42" t="str">
        <f t="shared" ca="1" si="17"/>
        <v>PAGADO</v>
      </c>
      <c r="R91" s="42">
        <v>46107</v>
      </c>
      <c r="S91" s="34"/>
      <c r="V91" s="44"/>
      <c r="W91" s="44"/>
      <c r="X91" s="44"/>
    </row>
    <row r="92" spans="1:24" ht="14.65" hidden="1" customHeight="1" x14ac:dyDescent="0.45">
      <c r="A92" s="104">
        <v>2304</v>
      </c>
      <c r="B92" s="105">
        <v>46085</v>
      </c>
      <c r="C92" s="106">
        <v>9493.6299999999992</v>
      </c>
      <c r="D92" s="106">
        <f t="shared" si="15"/>
        <v>1518.9807999999998</v>
      </c>
      <c r="E92" s="107"/>
      <c r="F92" s="106">
        <f t="shared" si="16"/>
        <v>11012.610799999999</v>
      </c>
      <c r="G92" s="107"/>
      <c r="H92" s="107"/>
      <c r="I92" s="32"/>
      <c r="J92" s="32"/>
      <c r="K92" s="104" t="s">
        <v>81</v>
      </c>
      <c r="L92" s="108" t="s">
        <v>82</v>
      </c>
      <c r="M92" s="109" t="s">
        <v>325</v>
      </c>
      <c r="N92" s="36" t="s">
        <v>143</v>
      </c>
      <c r="O92" s="105">
        <v>46085</v>
      </c>
      <c r="P92" s="105">
        <v>46100</v>
      </c>
      <c r="Q92" s="42" t="str">
        <f t="shared" ca="1" si="17"/>
        <v>PAGADO</v>
      </c>
      <c r="R92" s="42" t="str">
        <f t="shared" ca="1" si="18"/>
        <v>REVISIÓN</v>
      </c>
      <c r="S92" s="34"/>
      <c r="V92" s="44"/>
      <c r="W92" s="44"/>
      <c r="X92" s="44"/>
    </row>
    <row r="93" spans="1:24" ht="14.65" hidden="1" customHeight="1" x14ac:dyDescent="0.45">
      <c r="A93" s="104">
        <v>2305</v>
      </c>
      <c r="B93" s="105">
        <v>46085</v>
      </c>
      <c r="C93" s="106">
        <v>33165.49</v>
      </c>
      <c r="D93" s="106">
        <f t="shared" si="15"/>
        <v>5306.4784</v>
      </c>
      <c r="E93" s="107"/>
      <c r="F93" s="106">
        <f t="shared" si="16"/>
        <v>38471.968399999998</v>
      </c>
      <c r="G93" s="107"/>
      <c r="H93" s="107"/>
      <c r="I93" s="32"/>
      <c r="J93" s="32"/>
      <c r="K93" s="104" t="s">
        <v>81</v>
      </c>
      <c r="L93" s="108" t="s">
        <v>82</v>
      </c>
      <c r="M93" s="109" t="s">
        <v>326</v>
      </c>
      <c r="N93" s="112" t="s">
        <v>327</v>
      </c>
      <c r="O93" s="105">
        <v>46085</v>
      </c>
      <c r="P93" s="105">
        <v>46100</v>
      </c>
      <c r="Q93" s="42" t="str">
        <f t="shared" ca="1" si="17"/>
        <v>PAGADO</v>
      </c>
      <c r="R93" s="42" t="str">
        <f t="shared" ca="1" si="18"/>
        <v>REVISIÓN</v>
      </c>
      <c r="S93" s="34"/>
      <c r="V93" s="44"/>
      <c r="W93" s="44"/>
      <c r="X93" s="44"/>
    </row>
    <row r="94" spans="1:24" ht="14.65" hidden="1" customHeight="1" x14ac:dyDescent="0.45">
      <c r="A94" s="104">
        <v>2306</v>
      </c>
      <c r="B94" s="105">
        <v>46086</v>
      </c>
      <c r="C94" s="106">
        <v>189000</v>
      </c>
      <c r="D94" s="106">
        <f t="shared" si="15"/>
        <v>30240</v>
      </c>
      <c r="E94" s="107"/>
      <c r="F94" s="106">
        <f t="shared" si="16"/>
        <v>219240</v>
      </c>
      <c r="G94" s="107"/>
      <c r="H94" s="107"/>
      <c r="I94" s="32"/>
      <c r="J94" s="32"/>
      <c r="K94" s="104" t="s">
        <v>145</v>
      </c>
      <c r="L94" s="108" t="s">
        <v>146</v>
      </c>
      <c r="M94" s="108" t="s">
        <v>328</v>
      </c>
      <c r="N94" s="36" t="s">
        <v>254</v>
      </c>
      <c r="O94" s="105">
        <v>46086</v>
      </c>
      <c r="P94" s="105">
        <v>46100</v>
      </c>
      <c r="Q94" s="42" t="str">
        <f t="shared" ca="1" si="17"/>
        <v>PAGADO</v>
      </c>
      <c r="R94" s="42">
        <v>46087</v>
      </c>
      <c r="S94" s="34"/>
      <c r="V94" s="44"/>
      <c r="W94" s="44"/>
      <c r="X94" s="44"/>
    </row>
    <row r="95" spans="1:24" ht="14.65" hidden="1" customHeight="1" x14ac:dyDescent="0.45">
      <c r="A95" s="104">
        <v>2307</v>
      </c>
      <c r="B95" s="105">
        <v>46090</v>
      </c>
      <c r="C95" s="106">
        <v>157000</v>
      </c>
      <c r="D95" s="106">
        <f t="shared" si="4"/>
        <v>25120</v>
      </c>
      <c r="E95" s="107"/>
      <c r="F95" s="106">
        <f t="shared" si="5"/>
        <v>182120</v>
      </c>
      <c r="G95" s="107"/>
      <c r="H95" s="107"/>
      <c r="I95" s="32"/>
      <c r="J95" s="32"/>
      <c r="K95" s="104" t="s">
        <v>329</v>
      </c>
      <c r="L95" s="108" t="s">
        <v>333</v>
      </c>
      <c r="M95" s="109" t="s">
        <v>331</v>
      </c>
      <c r="N95" s="36" t="s">
        <v>332</v>
      </c>
      <c r="O95" s="105">
        <v>46090</v>
      </c>
      <c r="P95" s="105">
        <v>46105</v>
      </c>
      <c r="Q95" s="42" t="str">
        <f t="shared" ca="1" si="6"/>
        <v>PAGADO</v>
      </c>
      <c r="R95" s="42">
        <v>46119</v>
      </c>
      <c r="S95" s="34"/>
      <c r="V95" s="44"/>
      <c r="W95" s="44"/>
      <c r="X95" s="44"/>
    </row>
    <row r="96" spans="1:24" ht="14.65" hidden="1" customHeight="1" x14ac:dyDescent="0.45">
      <c r="A96" s="104">
        <v>2308</v>
      </c>
      <c r="B96" s="105">
        <v>46090</v>
      </c>
      <c r="C96" s="106">
        <v>50000</v>
      </c>
      <c r="D96" s="106">
        <f t="shared" si="4"/>
        <v>8000</v>
      </c>
      <c r="E96" s="107"/>
      <c r="F96" s="106">
        <f t="shared" si="5"/>
        <v>58000</v>
      </c>
      <c r="G96" s="107"/>
      <c r="H96" s="107"/>
      <c r="I96" s="32"/>
      <c r="J96" s="32"/>
      <c r="K96" s="104" t="s">
        <v>334</v>
      </c>
      <c r="L96" s="108" t="s">
        <v>100</v>
      </c>
      <c r="M96" s="109" t="s">
        <v>335</v>
      </c>
      <c r="N96" s="112" t="s">
        <v>336</v>
      </c>
      <c r="O96" s="105">
        <v>46090</v>
      </c>
      <c r="P96" s="105">
        <v>46105</v>
      </c>
      <c r="Q96" s="42" t="str">
        <f t="shared" ca="1" si="6"/>
        <v>PAGADO</v>
      </c>
      <c r="R96" s="42">
        <v>46094</v>
      </c>
      <c r="S96" s="34"/>
      <c r="V96" s="44"/>
      <c r="W96" s="44"/>
      <c r="X96" s="44"/>
    </row>
    <row r="97" spans="1:24" ht="14.65" customHeight="1" x14ac:dyDescent="0.45">
      <c r="A97" s="104">
        <v>2309</v>
      </c>
      <c r="B97" s="105">
        <v>46091</v>
      </c>
      <c r="C97" s="106">
        <v>160000</v>
      </c>
      <c r="D97" s="106"/>
      <c r="E97" s="107"/>
      <c r="F97" s="106">
        <f t="shared" ref="F97:F122" si="19">+C97+D97</f>
        <v>160000</v>
      </c>
      <c r="G97" s="107"/>
      <c r="H97" s="107"/>
      <c r="I97" s="32"/>
      <c r="J97" s="32"/>
      <c r="K97" s="104" t="s">
        <v>31</v>
      </c>
      <c r="L97" s="108" t="s">
        <v>73</v>
      </c>
      <c r="M97" s="108" t="s">
        <v>337</v>
      </c>
      <c r="N97" s="36" t="s">
        <v>158</v>
      </c>
      <c r="O97" s="105">
        <v>46091</v>
      </c>
      <c r="P97" s="105">
        <v>46105</v>
      </c>
      <c r="Q97" s="42" t="str">
        <f t="shared" ref="Q97:Q122" ca="1" si="20">IF(AND(R97&lt;&gt;"",P97&lt;$T$1),"PAGADO","ON TRACK")</f>
        <v>PAGADO</v>
      </c>
      <c r="R97" s="42" t="str">
        <f t="shared" ref="R97:R122" ca="1" si="21">IF(P97&gt;(TODAY()),"","REVISIÓN")</f>
        <v>REVISIÓN</v>
      </c>
      <c r="S97" s="34"/>
      <c r="V97" s="44"/>
      <c r="W97" s="44"/>
      <c r="X97" s="44"/>
    </row>
    <row r="98" spans="1:24" ht="14.65" customHeight="1" x14ac:dyDescent="0.45">
      <c r="A98" s="104">
        <v>2310</v>
      </c>
      <c r="B98" s="105">
        <v>46091</v>
      </c>
      <c r="C98" s="106">
        <v>198000</v>
      </c>
      <c r="D98" s="106">
        <f t="shared" ref="D98:D122" si="22">+C98*0.16</f>
        <v>31680</v>
      </c>
      <c r="E98" s="107"/>
      <c r="F98" s="106">
        <f t="shared" si="19"/>
        <v>229680</v>
      </c>
      <c r="G98" s="107"/>
      <c r="H98" s="107"/>
      <c r="I98" s="32"/>
      <c r="J98" s="32"/>
      <c r="K98" s="104" t="s">
        <v>103</v>
      </c>
      <c r="L98" s="108" t="s">
        <v>104</v>
      </c>
      <c r="M98" s="108" t="s">
        <v>338</v>
      </c>
      <c r="N98" s="36" t="s">
        <v>302</v>
      </c>
      <c r="O98" s="105">
        <v>46091</v>
      </c>
      <c r="P98" s="105">
        <v>46119</v>
      </c>
      <c r="Q98" s="42" t="str">
        <f t="shared" ca="1" si="20"/>
        <v>PAGADO</v>
      </c>
      <c r="R98" s="42" t="str">
        <f t="shared" ca="1" si="21"/>
        <v>REVISIÓN</v>
      </c>
      <c r="S98" s="34"/>
      <c r="V98" s="44"/>
      <c r="W98" s="44"/>
      <c r="X98" s="44"/>
    </row>
    <row r="99" spans="1:24" ht="14.65" hidden="1" customHeight="1" x14ac:dyDescent="0.45">
      <c r="A99" s="104">
        <v>2311</v>
      </c>
      <c r="B99" s="105">
        <v>46092</v>
      </c>
      <c r="C99" s="106">
        <v>14224.14</v>
      </c>
      <c r="D99" s="106">
        <f t="shared" si="22"/>
        <v>2275.8624</v>
      </c>
      <c r="E99" s="107"/>
      <c r="F99" s="106">
        <f t="shared" si="19"/>
        <v>16500.002399999998</v>
      </c>
      <c r="G99" s="107"/>
      <c r="H99" s="107"/>
      <c r="I99" s="32"/>
      <c r="J99" s="32"/>
      <c r="K99" s="104" t="s">
        <v>81</v>
      </c>
      <c r="L99" s="108" t="s">
        <v>82</v>
      </c>
      <c r="M99" s="109" t="s">
        <v>339</v>
      </c>
      <c r="N99" s="36" t="s">
        <v>288</v>
      </c>
      <c r="O99" s="105">
        <v>46092</v>
      </c>
      <c r="P99" s="105">
        <v>46106</v>
      </c>
      <c r="Q99" s="42" t="str">
        <f t="shared" ca="1" si="20"/>
        <v>PAGADO</v>
      </c>
      <c r="R99" s="42" t="str">
        <f t="shared" ca="1" si="21"/>
        <v>REVISIÓN</v>
      </c>
      <c r="S99" s="34"/>
      <c r="V99" s="44"/>
      <c r="W99" s="44"/>
      <c r="X99" s="44"/>
    </row>
    <row r="100" spans="1:24" ht="14.65" hidden="1" customHeight="1" x14ac:dyDescent="0.45">
      <c r="A100" s="104">
        <v>2312</v>
      </c>
      <c r="B100" s="105">
        <v>46093</v>
      </c>
      <c r="C100" s="106" t="s">
        <v>112</v>
      </c>
      <c r="D100" s="106" t="s">
        <v>112</v>
      </c>
      <c r="E100" s="107"/>
      <c r="F100" s="106" t="s">
        <v>112</v>
      </c>
      <c r="G100" s="107"/>
      <c r="H100" s="107"/>
      <c r="I100" s="32"/>
      <c r="J100" s="32"/>
      <c r="K100" s="104" t="s">
        <v>81</v>
      </c>
      <c r="L100" s="108" t="s">
        <v>82</v>
      </c>
      <c r="M100" s="109" t="s">
        <v>340</v>
      </c>
      <c r="N100" s="36" t="s">
        <v>288</v>
      </c>
      <c r="O100" s="105">
        <v>46092</v>
      </c>
      <c r="P100" s="114">
        <v>30000</v>
      </c>
      <c r="Q100" s="42" t="s">
        <v>112</v>
      </c>
      <c r="R100" s="42" t="s">
        <v>112</v>
      </c>
      <c r="S100" s="34"/>
      <c r="V100" s="44"/>
      <c r="W100" s="44"/>
      <c r="X100" s="44"/>
    </row>
    <row r="101" spans="1:24" ht="14.65" hidden="1" customHeight="1" x14ac:dyDescent="0.45">
      <c r="A101" s="104">
        <v>2313</v>
      </c>
      <c r="B101" s="105">
        <v>46093</v>
      </c>
      <c r="C101" s="106">
        <v>30000</v>
      </c>
      <c r="D101" s="106">
        <f t="shared" si="22"/>
        <v>4800</v>
      </c>
      <c r="E101" s="107"/>
      <c r="F101" s="106">
        <f t="shared" si="19"/>
        <v>34800</v>
      </c>
      <c r="G101" s="107"/>
      <c r="H101" s="107"/>
      <c r="I101" s="32"/>
      <c r="J101" s="32"/>
      <c r="K101" s="104" t="s">
        <v>81</v>
      </c>
      <c r="L101" s="108" t="s">
        <v>82</v>
      </c>
      <c r="M101" s="109" t="s">
        <v>341</v>
      </c>
      <c r="N101" s="112" t="s">
        <v>343</v>
      </c>
      <c r="O101" s="105">
        <v>46093</v>
      </c>
      <c r="P101" s="105">
        <v>46107</v>
      </c>
      <c r="Q101" s="42" t="str">
        <f t="shared" ca="1" si="20"/>
        <v>PAGADO</v>
      </c>
      <c r="R101" s="42">
        <v>46119</v>
      </c>
      <c r="S101" s="34"/>
      <c r="V101" s="44"/>
      <c r="W101" s="44"/>
      <c r="X101" s="44"/>
    </row>
    <row r="102" spans="1:24" ht="14.65" hidden="1" customHeight="1" x14ac:dyDescent="0.45">
      <c r="A102" s="104">
        <v>2314</v>
      </c>
      <c r="B102" s="105">
        <v>46093</v>
      </c>
      <c r="C102" s="106">
        <v>30000</v>
      </c>
      <c r="D102" s="106">
        <f t="shared" si="22"/>
        <v>4800</v>
      </c>
      <c r="E102" s="107"/>
      <c r="F102" s="106">
        <f t="shared" si="19"/>
        <v>34800</v>
      </c>
      <c r="G102" s="107"/>
      <c r="H102" s="107"/>
      <c r="I102" s="32"/>
      <c r="J102" s="32"/>
      <c r="K102" s="104" t="s">
        <v>81</v>
      </c>
      <c r="L102" s="108" t="s">
        <v>82</v>
      </c>
      <c r="M102" s="109" t="s">
        <v>342</v>
      </c>
      <c r="N102" s="112" t="s">
        <v>343</v>
      </c>
      <c r="O102" s="105">
        <v>46093</v>
      </c>
      <c r="P102" s="105">
        <v>46107</v>
      </c>
      <c r="Q102" s="42" t="str">
        <f t="shared" ca="1" si="20"/>
        <v>PAGADO</v>
      </c>
      <c r="R102" s="42" t="str">
        <f t="shared" ca="1" si="21"/>
        <v>REVISIÓN</v>
      </c>
      <c r="S102" s="34"/>
      <c r="V102" s="44"/>
      <c r="W102" s="44"/>
      <c r="X102" s="44"/>
    </row>
    <row r="103" spans="1:24" ht="14.65" hidden="1" customHeight="1" x14ac:dyDescent="0.45">
      <c r="A103" s="104">
        <v>2315</v>
      </c>
      <c r="B103" s="105">
        <v>46093</v>
      </c>
      <c r="C103" s="106">
        <v>30000</v>
      </c>
      <c r="D103" s="106">
        <f t="shared" si="22"/>
        <v>4800</v>
      </c>
      <c r="E103" s="107"/>
      <c r="F103" s="106">
        <f t="shared" si="19"/>
        <v>34800</v>
      </c>
      <c r="G103" s="107"/>
      <c r="H103" s="107"/>
      <c r="I103" s="32"/>
      <c r="J103" s="32"/>
      <c r="K103" s="104" t="s">
        <v>81</v>
      </c>
      <c r="L103" s="108" t="s">
        <v>82</v>
      </c>
      <c r="M103" s="109" t="s">
        <v>344</v>
      </c>
      <c r="N103" s="112" t="s">
        <v>343</v>
      </c>
      <c r="O103" s="105">
        <v>46093</v>
      </c>
      <c r="P103" s="105">
        <v>46107</v>
      </c>
      <c r="Q103" s="42" t="str">
        <f t="shared" ca="1" si="20"/>
        <v>PAGADO</v>
      </c>
      <c r="R103" s="42" t="str">
        <f t="shared" ca="1" si="21"/>
        <v>REVISIÓN</v>
      </c>
      <c r="S103" s="34"/>
      <c r="V103" s="44"/>
      <c r="W103" s="44"/>
      <c r="X103" s="44"/>
    </row>
    <row r="104" spans="1:24" ht="14.65" hidden="1" customHeight="1" x14ac:dyDescent="0.45">
      <c r="A104" s="104">
        <v>2316</v>
      </c>
      <c r="B104" s="105">
        <v>46093</v>
      </c>
      <c r="C104" s="106">
        <v>30000</v>
      </c>
      <c r="D104" s="106">
        <f t="shared" si="22"/>
        <v>4800</v>
      </c>
      <c r="E104" s="107"/>
      <c r="F104" s="106">
        <f t="shared" si="19"/>
        <v>34800</v>
      </c>
      <c r="G104" s="107"/>
      <c r="H104" s="107"/>
      <c r="I104" s="32"/>
      <c r="J104" s="32"/>
      <c r="K104" s="104" t="s">
        <v>81</v>
      </c>
      <c r="L104" s="108" t="s">
        <v>82</v>
      </c>
      <c r="M104" s="109" t="s">
        <v>345</v>
      </c>
      <c r="N104" s="112" t="s">
        <v>343</v>
      </c>
      <c r="O104" s="105">
        <v>46093</v>
      </c>
      <c r="P104" s="105">
        <v>46107</v>
      </c>
      <c r="Q104" s="42" t="str">
        <f t="shared" ca="1" si="20"/>
        <v>PAGADO</v>
      </c>
      <c r="R104" s="42" t="str">
        <f t="shared" ca="1" si="21"/>
        <v>REVISIÓN</v>
      </c>
      <c r="S104" s="34"/>
      <c r="V104" s="44"/>
      <c r="W104" s="44"/>
      <c r="X104" s="44"/>
    </row>
    <row r="105" spans="1:24" ht="14.65" hidden="1" customHeight="1" x14ac:dyDescent="0.45">
      <c r="A105" s="104">
        <v>2317</v>
      </c>
      <c r="B105" s="105">
        <v>46093</v>
      </c>
      <c r="C105" s="106">
        <v>78400</v>
      </c>
      <c r="D105" s="106">
        <f t="shared" si="22"/>
        <v>12544</v>
      </c>
      <c r="E105" s="107"/>
      <c r="F105" s="106">
        <f t="shared" si="19"/>
        <v>90944</v>
      </c>
      <c r="G105" s="107"/>
      <c r="H105" s="107"/>
      <c r="I105" s="32"/>
      <c r="J105" s="32"/>
      <c r="K105" s="104" t="s">
        <v>39</v>
      </c>
      <c r="L105" s="108" t="s">
        <v>40</v>
      </c>
      <c r="M105" s="109" t="s">
        <v>346</v>
      </c>
      <c r="N105" s="36" t="s">
        <v>158</v>
      </c>
      <c r="O105" s="105">
        <v>46093</v>
      </c>
      <c r="P105" s="105">
        <v>46107</v>
      </c>
      <c r="Q105" s="42" t="str">
        <f t="shared" ca="1" si="20"/>
        <v>PAGADO</v>
      </c>
      <c r="R105" s="42">
        <v>46099</v>
      </c>
      <c r="S105" s="34"/>
      <c r="V105" s="44"/>
      <c r="W105" s="44"/>
      <c r="X105" s="44"/>
    </row>
    <row r="106" spans="1:24" ht="14.65" customHeight="1" x14ac:dyDescent="0.45">
      <c r="A106" s="104">
        <v>2318</v>
      </c>
      <c r="B106" s="105">
        <v>46093</v>
      </c>
      <c r="C106" s="106">
        <v>525000</v>
      </c>
      <c r="D106" s="106">
        <f t="shared" si="22"/>
        <v>84000</v>
      </c>
      <c r="E106" s="107"/>
      <c r="F106" s="106">
        <f t="shared" si="19"/>
        <v>609000</v>
      </c>
      <c r="G106" s="107"/>
      <c r="H106" s="107"/>
      <c r="I106" s="32"/>
      <c r="J106" s="32"/>
      <c r="K106" s="104" t="s">
        <v>347</v>
      </c>
      <c r="L106" s="108" t="s">
        <v>348</v>
      </c>
      <c r="M106" s="108" t="s">
        <v>349</v>
      </c>
      <c r="N106" s="36" t="s">
        <v>350</v>
      </c>
      <c r="O106" s="105">
        <v>46093</v>
      </c>
      <c r="P106" s="105">
        <v>46132</v>
      </c>
      <c r="Q106" s="42" t="str">
        <f t="shared" ca="1" si="20"/>
        <v>ON TRACK</v>
      </c>
      <c r="R106" s="42" t="str">
        <f t="shared" ca="1" si="21"/>
        <v/>
      </c>
      <c r="S106" s="34"/>
      <c r="V106" s="44"/>
      <c r="W106" s="44"/>
      <c r="X106" s="44"/>
    </row>
    <row r="107" spans="1:24" ht="14.65" hidden="1" customHeight="1" x14ac:dyDescent="0.45">
      <c r="A107" s="104">
        <v>2319</v>
      </c>
      <c r="B107" s="105">
        <v>46098</v>
      </c>
      <c r="C107" s="106">
        <v>85000</v>
      </c>
      <c r="D107" s="106">
        <f t="shared" si="22"/>
        <v>13600</v>
      </c>
      <c r="E107" s="107"/>
      <c r="F107" s="106">
        <f t="shared" si="19"/>
        <v>98600</v>
      </c>
      <c r="G107" s="107"/>
      <c r="H107" s="107"/>
      <c r="I107" s="32"/>
      <c r="J107" s="32"/>
      <c r="K107" s="104" t="s">
        <v>87</v>
      </c>
      <c r="L107" s="108" t="s">
        <v>88</v>
      </c>
      <c r="M107" s="109" t="s">
        <v>351</v>
      </c>
      <c r="N107" s="112" t="s">
        <v>352</v>
      </c>
      <c r="O107" s="105">
        <v>46098</v>
      </c>
      <c r="P107" s="105">
        <v>46108</v>
      </c>
      <c r="Q107" s="42" t="str">
        <f t="shared" ca="1" si="20"/>
        <v>PAGADO</v>
      </c>
      <c r="R107" s="42">
        <v>46108</v>
      </c>
      <c r="S107" s="34"/>
      <c r="V107" s="44"/>
      <c r="W107" s="44"/>
      <c r="X107" s="44"/>
    </row>
    <row r="108" spans="1:24" ht="14.65" hidden="1" customHeight="1" x14ac:dyDescent="0.45">
      <c r="A108" s="104">
        <v>2320</v>
      </c>
      <c r="B108" s="105">
        <v>46099</v>
      </c>
      <c r="C108" s="106">
        <v>105000</v>
      </c>
      <c r="D108" s="106">
        <f t="shared" si="22"/>
        <v>16800</v>
      </c>
      <c r="E108" s="107"/>
      <c r="F108" s="106">
        <f t="shared" si="19"/>
        <v>121800</v>
      </c>
      <c r="G108" s="107"/>
      <c r="H108" s="107"/>
      <c r="I108" s="32"/>
      <c r="J108" s="32"/>
      <c r="K108" s="104" t="s">
        <v>37</v>
      </c>
      <c r="L108" s="109" t="s">
        <v>41</v>
      </c>
      <c r="M108" s="109" t="s">
        <v>353</v>
      </c>
      <c r="N108" s="36" t="s">
        <v>116</v>
      </c>
      <c r="O108" s="105">
        <v>46099</v>
      </c>
      <c r="P108" s="105">
        <v>46109</v>
      </c>
      <c r="Q108" s="42" t="str">
        <f t="shared" ca="1" si="20"/>
        <v>PAGADO</v>
      </c>
      <c r="R108" s="42" t="str">
        <f t="shared" ca="1" si="21"/>
        <v>REVISIÓN</v>
      </c>
      <c r="S108" s="34"/>
      <c r="V108" s="44"/>
      <c r="W108" s="44"/>
      <c r="X108" s="44"/>
    </row>
    <row r="109" spans="1:24" ht="14.65" hidden="1" customHeight="1" x14ac:dyDescent="0.45">
      <c r="A109" s="104">
        <v>2321</v>
      </c>
      <c r="B109" s="105">
        <v>46100</v>
      </c>
      <c r="C109" s="106">
        <v>75000</v>
      </c>
      <c r="D109" s="106">
        <f t="shared" si="22"/>
        <v>12000</v>
      </c>
      <c r="E109" s="107"/>
      <c r="F109" s="106">
        <f t="shared" si="19"/>
        <v>87000</v>
      </c>
      <c r="G109" s="107"/>
      <c r="H109" s="107"/>
      <c r="I109" s="32"/>
      <c r="J109" s="32"/>
      <c r="K109" s="104" t="s">
        <v>81</v>
      </c>
      <c r="L109" s="108" t="s">
        <v>82</v>
      </c>
      <c r="M109" s="109" t="s">
        <v>354</v>
      </c>
      <c r="N109" s="112" t="s">
        <v>355</v>
      </c>
      <c r="O109" s="105">
        <v>46100</v>
      </c>
      <c r="P109" s="105">
        <v>46110</v>
      </c>
      <c r="Q109" s="42" t="str">
        <f t="shared" ca="1" si="20"/>
        <v>PAGADO</v>
      </c>
      <c r="R109" s="42" t="str">
        <f t="shared" ca="1" si="21"/>
        <v>REVISIÓN</v>
      </c>
      <c r="S109" s="34"/>
      <c r="V109" s="44"/>
      <c r="W109" s="44"/>
      <c r="X109" s="44"/>
    </row>
    <row r="110" spans="1:24" ht="14.65" hidden="1" customHeight="1" x14ac:dyDescent="0.45">
      <c r="A110" s="104">
        <v>2322</v>
      </c>
      <c r="B110" s="105">
        <v>46101</v>
      </c>
      <c r="C110" s="106" t="s">
        <v>112</v>
      </c>
      <c r="D110" s="106" t="s">
        <v>112</v>
      </c>
      <c r="E110" s="107"/>
      <c r="F110" s="106" t="s">
        <v>112</v>
      </c>
      <c r="G110" s="107"/>
      <c r="H110" s="107"/>
      <c r="I110" s="32"/>
      <c r="J110" s="32"/>
      <c r="K110" s="104" t="s">
        <v>81</v>
      </c>
      <c r="L110" s="108" t="s">
        <v>82</v>
      </c>
      <c r="M110" s="109" t="s">
        <v>358</v>
      </c>
      <c r="N110" s="36" t="s">
        <v>359</v>
      </c>
      <c r="O110" s="105">
        <v>46101</v>
      </c>
      <c r="P110" s="114">
        <v>78750</v>
      </c>
      <c r="Q110" s="42" t="s">
        <v>112</v>
      </c>
      <c r="R110" s="42" t="s">
        <v>112</v>
      </c>
      <c r="S110" s="34"/>
      <c r="V110" s="44"/>
      <c r="W110" s="44"/>
      <c r="X110" s="44"/>
    </row>
    <row r="111" spans="1:24" ht="14.65" hidden="1" customHeight="1" x14ac:dyDescent="0.45">
      <c r="A111" s="104">
        <v>2323</v>
      </c>
      <c r="B111" s="105">
        <v>46101</v>
      </c>
      <c r="C111" s="106" t="s">
        <v>112</v>
      </c>
      <c r="D111" s="106" t="s">
        <v>112</v>
      </c>
      <c r="E111" s="107"/>
      <c r="F111" s="106" t="s">
        <v>112</v>
      </c>
      <c r="G111" s="107"/>
      <c r="H111" s="107"/>
      <c r="I111" s="32"/>
      <c r="J111" s="32"/>
      <c r="K111" s="104" t="s">
        <v>81</v>
      </c>
      <c r="L111" s="108" t="s">
        <v>82</v>
      </c>
      <c r="M111" s="109" t="s">
        <v>360</v>
      </c>
      <c r="N111" s="36" t="s">
        <v>361</v>
      </c>
      <c r="O111" s="105">
        <v>46101</v>
      </c>
      <c r="P111" s="114">
        <v>157500</v>
      </c>
      <c r="Q111" s="42" t="s">
        <v>112</v>
      </c>
      <c r="R111" s="42" t="s">
        <v>112</v>
      </c>
      <c r="S111" s="34"/>
      <c r="V111" s="44"/>
      <c r="W111" s="44"/>
      <c r="X111" s="44"/>
    </row>
    <row r="112" spans="1:24" ht="14.65" hidden="1" customHeight="1" x14ac:dyDescent="0.45">
      <c r="A112" s="104">
        <v>2324</v>
      </c>
      <c r="B112" s="105">
        <v>46104</v>
      </c>
      <c r="C112" s="106">
        <v>157500</v>
      </c>
      <c r="D112" s="106">
        <f t="shared" si="22"/>
        <v>25200</v>
      </c>
      <c r="E112" s="107"/>
      <c r="F112" s="106">
        <f t="shared" si="19"/>
        <v>182700</v>
      </c>
      <c r="G112" s="107"/>
      <c r="H112" s="107"/>
      <c r="I112" s="32"/>
      <c r="J112" s="32"/>
      <c r="K112" s="104" t="s">
        <v>81</v>
      </c>
      <c r="L112" s="108" t="s">
        <v>82</v>
      </c>
      <c r="M112" s="109" t="s">
        <v>362</v>
      </c>
      <c r="N112" s="36" t="s">
        <v>363</v>
      </c>
      <c r="O112" s="105">
        <v>46104</v>
      </c>
      <c r="P112" s="105">
        <v>46120</v>
      </c>
      <c r="Q112" s="42" t="str">
        <f t="shared" ca="1" si="20"/>
        <v>PAGADO</v>
      </c>
      <c r="R112" s="42" t="str">
        <f t="shared" ca="1" si="21"/>
        <v>REVISIÓN</v>
      </c>
      <c r="S112" s="34"/>
      <c r="V112" s="44"/>
      <c r="W112" s="44"/>
      <c r="X112" s="44"/>
    </row>
    <row r="113" spans="1:30" ht="14.65" hidden="1" customHeight="1" x14ac:dyDescent="0.45">
      <c r="A113" s="263">
        <v>2325</v>
      </c>
      <c r="B113" s="105">
        <v>46104</v>
      </c>
      <c r="C113" s="106">
        <v>63000</v>
      </c>
      <c r="D113" s="106">
        <f t="shared" si="22"/>
        <v>10080</v>
      </c>
      <c r="E113" s="107"/>
      <c r="F113" s="106">
        <f t="shared" si="19"/>
        <v>73080</v>
      </c>
      <c r="G113" s="107"/>
      <c r="H113" s="107"/>
      <c r="I113" s="32"/>
      <c r="J113" s="32"/>
      <c r="K113" s="104" t="s">
        <v>81</v>
      </c>
      <c r="L113" s="108" t="s">
        <v>82</v>
      </c>
      <c r="M113" s="109" t="s">
        <v>364</v>
      </c>
      <c r="N113" s="36" t="s">
        <v>363</v>
      </c>
      <c r="O113" s="105">
        <v>46104</v>
      </c>
      <c r="P113" s="105">
        <v>46120</v>
      </c>
      <c r="Q113" s="42" t="str">
        <f t="shared" ca="1" si="20"/>
        <v>PAGADO</v>
      </c>
      <c r="R113" s="42" t="str">
        <f t="shared" ca="1" si="21"/>
        <v>REVISIÓN</v>
      </c>
      <c r="S113" s="34"/>
      <c r="V113" s="44"/>
      <c r="W113" s="44"/>
      <c r="X113" s="44"/>
    </row>
    <row r="114" spans="1:30" ht="14.65" hidden="1" customHeight="1" x14ac:dyDescent="0.45">
      <c r="A114" s="263">
        <v>2326</v>
      </c>
      <c r="B114" s="105">
        <v>46105</v>
      </c>
      <c r="C114" s="106">
        <v>50000</v>
      </c>
      <c r="D114" s="106">
        <f t="shared" si="22"/>
        <v>8000</v>
      </c>
      <c r="E114" s="107"/>
      <c r="F114" s="106">
        <f t="shared" si="19"/>
        <v>58000</v>
      </c>
      <c r="G114" s="107"/>
      <c r="H114" s="107"/>
      <c r="I114" s="32"/>
      <c r="J114" s="32"/>
      <c r="K114" s="104" t="s">
        <v>365</v>
      </c>
      <c r="L114" s="108" t="s">
        <v>366</v>
      </c>
      <c r="M114" s="108" t="s">
        <v>367</v>
      </c>
      <c r="N114" s="36" t="s">
        <v>368</v>
      </c>
      <c r="O114" s="105">
        <v>46105</v>
      </c>
      <c r="P114" s="105">
        <v>46121</v>
      </c>
      <c r="Q114" s="42" t="s">
        <v>161</v>
      </c>
      <c r="R114" s="42">
        <v>46108</v>
      </c>
      <c r="S114" s="34"/>
      <c r="V114" s="44"/>
      <c r="W114" s="44"/>
      <c r="X114" s="44"/>
    </row>
    <row r="115" spans="1:30" ht="14.65" hidden="1" customHeight="1" x14ac:dyDescent="0.45">
      <c r="A115" s="263">
        <v>2327</v>
      </c>
      <c r="B115" s="105">
        <v>46105</v>
      </c>
      <c r="C115" s="106">
        <v>65000</v>
      </c>
      <c r="D115" s="106">
        <f t="shared" si="22"/>
        <v>10400</v>
      </c>
      <c r="E115" s="107"/>
      <c r="F115" s="106">
        <f t="shared" si="19"/>
        <v>75400</v>
      </c>
      <c r="G115" s="107"/>
      <c r="H115" s="107"/>
      <c r="I115" s="32"/>
      <c r="J115" s="32"/>
      <c r="K115" s="104" t="s">
        <v>37</v>
      </c>
      <c r="L115" s="109" t="s">
        <v>49</v>
      </c>
      <c r="M115" s="109" t="s">
        <v>374</v>
      </c>
      <c r="N115" s="38" t="s">
        <v>375</v>
      </c>
      <c r="O115" s="105">
        <v>46105</v>
      </c>
      <c r="P115" s="105">
        <v>46121</v>
      </c>
      <c r="Q115" s="42" t="str">
        <f t="shared" ca="1" si="20"/>
        <v>PAGADO</v>
      </c>
      <c r="R115" s="42" t="str">
        <f t="shared" ca="1" si="21"/>
        <v>REVISIÓN</v>
      </c>
      <c r="S115" s="34"/>
      <c r="V115" s="44"/>
      <c r="W115" s="44"/>
      <c r="X115" s="44"/>
    </row>
    <row r="116" spans="1:30" ht="14.65" customHeight="1" x14ac:dyDescent="0.45">
      <c r="A116" s="263">
        <v>2328</v>
      </c>
      <c r="B116" s="105">
        <v>46106</v>
      </c>
      <c r="C116" s="106">
        <v>164230</v>
      </c>
      <c r="D116" s="106">
        <f t="shared" si="22"/>
        <v>26276.799999999999</v>
      </c>
      <c r="E116" s="107"/>
      <c r="F116" s="106">
        <f t="shared" si="19"/>
        <v>190506.8</v>
      </c>
      <c r="G116" s="107"/>
      <c r="H116" s="107"/>
      <c r="I116" s="32"/>
      <c r="J116" s="32"/>
      <c r="K116" s="104" t="s">
        <v>376</v>
      </c>
      <c r="L116" s="108" t="s">
        <v>377</v>
      </c>
      <c r="M116" s="109" t="s">
        <v>378</v>
      </c>
      <c r="N116" s="36" t="s">
        <v>84</v>
      </c>
      <c r="O116" s="105">
        <v>46106</v>
      </c>
      <c r="P116" s="105">
        <v>46122</v>
      </c>
      <c r="Q116" s="42" t="str">
        <f t="shared" ca="1" si="20"/>
        <v>ON TRACK</v>
      </c>
      <c r="R116" s="42" t="str">
        <f t="shared" ca="1" si="21"/>
        <v>REVISIÓN</v>
      </c>
      <c r="S116" s="34"/>
      <c r="V116" s="44"/>
      <c r="W116" s="44"/>
      <c r="X116" s="44"/>
    </row>
    <row r="117" spans="1:30" ht="14.65" customHeight="1" x14ac:dyDescent="0.45">
      <c r="A117" s="263">
        <v>2329</v>
      </c>
      <c r="B117" s="105"/>
      <c r="C117" s="106">
        <v>40000</v>
      </c>
      <c r="D117" s="106">
        <f t="shared" si="22"/>
        <v>6400</v>
      </c>
      <c r="E117" s="107"/>
      <c r="F117" s="106">
        <f t="shared" si="19"/>
        <v>46400</v>
      </c>
      <c r="G117" s="107"/>
      <c r="H117" s="107"/>
      <c r="I117" s="32"/>
      <c r="J117" s="32"/>
      <c r="K117" s="104" t="s">
        <v>320</v>
      </c>
      <c r="L117" s="109" t="s">
        <v>379</v>
      </c>
      <c r="M117" s="109" t="s">
        <v>380</v>
      </c>
      <c r="N117" s="112" t="s">
        <v>381</v>
      </c>
      <c r="O117" s="105"/>
      <c r="P117" s="105"/>
      <c r="Q117" s="42" t="str">
        <f t="shared" ca="1" si="20"/>
        <v>PAGADO</v>
      </c>
      <c r="R117" s="42" t="str">
        <f t="shared" ca="1" si="21"/>
        <v>REVISIÓN</v>
      </c>
      <c r="S117" s="34"/>
      <c r="V117" s="44"/>
      <c r="W117" s="44"/>
      <c r="X117" s="44"/>
    </row>
    <row r="118" spans="1:30" ht="14.65" hidden="1" customHeight="1" x14ac:dyDescent="0.45">
      <c r="A118" s="263">
        <v>2330</v>
      </c>
      <c r="B118" s="105">
        <v>46107</v>
      </c>
      <c r="C118" s="106">
        <v>100000</v>
      </c>
      <c r="D118" s="106">
        <f t="shared" si="22"/>
        <v>16000</v>
      </c>
      <c r="E118" s="107"/>
      <c r="F118" s="106">
        <f t="shared" si="19"/>
        <v>116000</v>
      </c>
      <c r="G118" s="107"/>
      <c r="H118" s="107"/>
      <c r="I118" s="32"/>
      <c r="J118" s="32"/>
      <c r="K118" s="104" t="s">
        <v>382</v>
      </c>
      <c r="L118" s="108" t="s">
        <v>383</v>
      </c>
      <c r="M118" s="109" t="s">
        <v>384</v>
      </c>
      <c r="N118" s="112" t="s">
        <v>385</v>
      </c>
      <c r="O118" s="105">
        <v>46107</v>
      </c>
      <c r="P118" s="105">
        <v>46123</v>
      </c>
      <c r="Q118" s="42" t="str">
        <f t="shared" ca="1" si="20"/>
        <v>ON TRACK</v>
      </c>
      <c r="R118" s="42">
        <v>46108</v>
      </c>
      <c r="S118" s="34"/>
      <c r="V118" s="44"/>
      <c r="W118" s="44"/>
      <c r="X118" s="44"/>
    </row>
    <row r="119" spans="1:30" ht="14.65" customHeight="1" x14ac:dyDescent="0.45">
      <c r="A119" s="263"/>
      <c r="B119" s="105"/>
      <c r="C119" s="106"/>
      <c r="D119" s="106">
        <f t="shared" si="22"/>
        <v>0</v>
      </c>
      <c r="E119" s="107"/>
      <c r="F119" s="106">
        <f t="shared" si="19"/>
        <v>0</v>
      </c>
      <c r="G119" s="107"/>
      <c r="H119" s="107"/>
      <c r="I119" s="32"/>
      <c r="J119" s="32"/>
      <c r="K119" s="104"/>
      <c r="L119" s="108"/>
      <c r="M119" s="108"/>
      <c r="N119" s="36"/>
      <c r="O119" s="105"/>
      <c r="P119" s="105"/>
      <c r="Q119" s="42" t="str">
        <f t="shared" ca="1" si="20"/>
        <v>PAGADO</v>
      </c>
      <c r="R119" s="42" t="str">
        <f t="shared" ca="1" si="21"/>
        <v>REVISIÓN</v>
      </c>
      <c r="S119" s="34"/>
      <c r="V119" s="44"/>
      <c r="W119" s="44"/>
      <c r="X119" s="44"/>
    </row>
    <row r="120" spans="1:30" ht="14.65" customHeight="1" x14ac:dyDescent="0.45">
      <c r="A120" s="263"/>
      <c r="B120" s="105"/>
      <c r="C120" s="106"/>
      <c r="D120" s="106">
        <f t="shared" si="22"/>
        <v>0</v>
      </c>
      <c r="E120" s="107"/>
      <c r="F120" s="106">
        <f t="shared" si="19"/>
        <v>0</v>
      </c>
      <c r="G120" s="107"/>
      <c r="H120" s="107"/>
      <c r="I120" s="32"/>
      <c r="J120" s="32"/>
      <c r="K120" s="104"/>
      <c r="L120" s="108"/>
      <c r="M120" s="108"/>
      <c r="N120" s="36"/>
      <c r="O120" s="105"/>
      <c r="P120" s="105"/>
      <c r="Q120" s="42" t="str">
        <f t="shared" ca="1" si="20"/>
        <v>PAGADO</v>
      </c>
      <c r="R120" s="42" t="str">
        <f t="shared" ca="1" si="21"/>
        <v>REVISIÓN</v>
      </c>
      <c r="S120" s="34"/>
      <c r="V120" s="44"/>
      <c r="W120" s="44"/>
      <c r="X120" s="44"/>
    </row>
    <row r="121" spans="1:30" ht="14.65" customHeight="1" x14ac:dyDescent="0.45">
      <c r="A121" s="263"/>
      <c r="B121" s="105"/>
      <c r="C121" s="106"/>
      <c r="D121" s="106">
        <f t="shared" si="22"/>
        <v>0</v>
      </c>
      <c r="E121" s="107"/>
      <c r="F121" s="106">
        <f t="shared" si="19"/>
        <v>0</v>
      </c>
      <c r="G121" s="107"/>
      <c r="H121" s="107"/>
      <c r="I121" s="32"/>
      <c r="J121" s="32"/>
      <c r="K121" s="104"/>
      <c r="L121" s="108"/>
      <c r="M121" s="108"/>
      <c r="N121" s="36"/>
      <c r="O121" s="105"/>
      <c r="P121" s="105"/>
      <c r="Q121" s="42" t="str">
        <f t="shared" ca="1" si="20"/>
        <v>PAGADO</v>
      </c>
      <c r="R121" s="42" t="str">
        <f t="shared" ca="1" si="21"/>
        <v>REVISIÓN</v>
      </c>
      <c r="S121" s="34"/>
      <c r="V121" s="44"/>
      <c r="W121" s="44"/>
      <c r="X121" s="44"/>
    </row>
    <row r="122" spans="1:30" ht="14.65" customHeight="1" x14ac:dyDescent="0.45">
      <c r="A122" s="263"/>
      <c r="B122" s="105"/>
      <c r="C122" s="106"/>
      <c r="D122" s="106">
        <f t="shared" si="22"/>
        <v>0</v>
      </c>
      <c r="E122" s="107"/>
      <c r="F122" s="106">
        <f t="shared" si="19"/>
        <v>0</v>
      </c>
      <c r="G122" s="107"/>
      <c r="H122" s="107"/>
      <c r="I122" s="32"/>
      <c r="J122" s="32"/>
      <c r="K122" s="104"/>
      <c r="L122" s="108"/>
      <c r="M122" s="108"/>
      <c r="N122" s="36"/>
      <c r="O122" s="105"/>
      <c r="P122" s="105"/>
      <c r="Q122" s="42" t="str">
        <f t="shared" ca="1" si="20"/>
        <v>PAGADO</v>
      </c>
      <c r="R122" s="42" t="str">
        <f t="shared" ca="1" si="21"/>
        <v>REVISIÓN</v>
      </c>
      <c r="S122" s="34"/>
      <c r="V122" s="44"/>
      <c r="W122" s="44"/>
      <c r="X122" s="44"/>
    </row>
    <row r="123" spans="1:30" ht="14.65" customHeight="1" x14ac:dyDescent="0.45">
      <c r="A123" s="104"/>
      <c r="B123" s="105"/>
      <c r="C123" s="106"/>
      <c r="D123" s="106">
        <f t="shared" si="4"/>
        <v>0</v>
      </c>
      <c r="E123" s="107"/>
      <c r="F123" s="106">
        <f t="shared" si="5"/>
        <v>0</v>
      </c>
      <c r="G123" s="107"/>
      <c r="H123" s="107"/>
      <c r="I123" s="32"/>
      <c r="J123" s="32"/>
      <c r="K123" s="104"/>
      <c r="L123" s="108"/>
      <c r="M123" s="108"/>
      <c r="N123" s="36"/>
      <c r="O123" s="105"/>
      <c r="P123" s="105"/>
      <c r="Q123" s="42" t="str">
        <f t="shared" ca="1" si="6"/>
        <v>PAGADO</v>
      </c>
      <c r="R123" s="42" t="str">
        <f t="shared" ref="R95:R123" ca="1" si="23">IF(P123&gt;(TODAY()),"","REVISIÓN")</f>
        <v>REVISIÓN</v>
      </c>
      <c r="S123" s="34"/>
      <c r="V123" s="44"/>
      <c r="W123" s="44"/>
      <c r="X123" s="44"/>
    </row>
    <row r="124" spans="1:30" ht="14.65" customHeight="1" x14ac:dyDescent="0.45">
      <c r="A124" s="104"/>
      <c r="B124" s="105"/>
      <c r="C124" s="106"/>
      <c r="D124" s="106">
        <f t="shared" si="0"/>
        <v>0</v>
      </c>
      <c r="E124" s="107"/>
      <c r="F124" s="106">
        <f t="shared" si="1"/>
        <v>0</v>
      </c>
      <c r="G124" s="107"/>
      <c r="H124" s="107"/>
      <c r="I124" s="32"/>
      <c r="J124" s="32"/>
      <c r="K124" s="104"/>
      <c r="L124" s="108"/>
      <c r="M124" s="108"/>
      <c r="N124" s="36"/>
      <c r="O124" s="105"/>
      <c r="P124" s="105"/>
      <c r="Q124" s="42" t="str">
        <f t="shared" ca="1" si="2"/>
        <v>PAGADO</v>
      </c>
      <c r="R124" s="42" t="str">
        <f t="shared" ca="1" si="3"/>
        <v>REVISIÓN</v>
      </c>
      <c r="S124" s="34"/>
      <c r="V124" s="44"/>
      <c r="W124" s="44"/>
      <c r="X124" s="44"/>
    </row>
    <row r="125" spans="1:30" x14ac:dyDescent="0.45">
      <c r="A125" s="104"/>
      <c r="B125" s="105"/>
      <c r="C125" s="106"/>
      <c r="D125" s="106">
        <f t="shared" ref="D125" si="24">+C125*0.16</f>
        <v>0</v>
      </c>
      <c r="E125" s="107"/>
      <c r="F125" s="106">
        <f t="shared" ref="F125" si="25">+C125+D125</f>
        <v>0</v>
      </c>
      <c r="G125" s="107"/>
      <c r="H125" s="107"/>
      <c r="I125" s="32"/>
      <c r="J125" s="32"/>
      <c r="K125" s="104"/>
      <c r="L125" s="108"/>
      <c r="M125" s="108"/>
      <c r="N125" s="36"/>
      <c r="O125" s="105"/>
      <c r="P125" s="105"/>
      <c r="Q125" s="42" t="str">
        <f t="shared" ref="Q125" ca="1" si="26">IF(AND(R125&lt;&gt;"",P125&lt;$T$1),"PAGADO","ON TRACK")</f>
        <v>PAGADO</v>
      </c>
      <c r="R125" s="42" t="str">
        <f t="shared" ref="R125" ca="1" si="27">IF(P125&gt;(TODAY()),"","REVISIÓN")</f>
        <v>REVISIÓN</v>
      </c>
      <c r="V125" s="43"/>
      <c r="W125" s="43"/>
      <c r="X125" s="43"/>
    </row>
    <row r="126" spans="1:30" ht="14.65" thickBot="1" x14ac:dyDescent="0.5"/>
    <row r="127" spans="1:30" s="42" customFormat="1" ht="15" thickTop="1" thickBot="1" x14ac:dyDescent="0.5">
      <c r="A127" s="286" t="s">
        <v>56</v>
      </c>
      <c r="B127" s="287"/>
      <c r="C127" s="51">
        <f t="shared" ref="C127:I127" si="28">SUBTOTAL(9,C3:C126)</f>
        <v>1654254.26</v>
      </c>
      <c r="D127" s="51">
        <f t="shared" si="28"/>
        <v>239080.68159999998</v>
      </c>
      <c r="E127" s="52">
        <f t="shared" si="28"/>
        <v>0</v>
      </c>
      <c r="F127" s="51">
        <f t="shared" si="28"/>
        <v>1893334.9416</v>
      </c>
      <c r="G127" s="52">
        <f t="shared" si="28"/>
        <v>0</v>
      </c>
      <c r="H127" s="52">
        <f t="shared" si="28"/>
        <v>0</v>
      </c>
      <c r="I127" s="52">
        <f t="shared" si="28"/>
        <v>0</v>
      </c>
      <c r="J127" s="52"/>
      <c r="K127" s="43"/>
      <c r="L127" s="53"/>
      <c r="M127" s="46"/>
      <c r="N127" s="54"/>
      <c r="S127" s="43"/>
      <c r="T127" s="43"/>
      <c r="U127" s="43"/>
      <c r="V127" s="50"/>
      <c r="W127" s="50"/>
      <c r="X127" s="50"/>
      <c r="Y127" s="43"/>
      <c r="Z127" s="43"/>
      <c r="AA127" s="43"/>
      <c r="AB127" s="43"/>
      <c r="AC127" s="43"/>
      <c r="AD127" s="43"/>
    </row>
    <row r="128" spans="1:30" s="42" customFormat="1" ht="15" thickTop="1" thickBot="1" x14ac:dyDescent="0.5">
      <c r="A128" s="286" t="s">
        <v>57</v>
      </c>
      <c r="B128" s="287"/>
      <c r="C128" s="55">
        <f>C127+(G127*L128)</f>
        <v>1654254.26</v>
      </c>
      <c r="D128" s="56">
        <f>D127+(H127*L128)</f>
        <v>239080.68159999998</v>
      </c>
      <c r="E128" s="57">
        <f>E127+(I127*L128)</f>
        <v>0</v>
      </c>
      <c r="F128" s="58">
        <f>F127+(I127*L128)</f>
        <v>1893334.9416</v>
      </c>
      <c r="G128" s="59"/>
      <c r="H128" s="60"/>
      <c r="I128" s="61"/>
      <c r="J128" s="39"/>
      <c r="K128" s="43"/>
      <c r="L128" s="45"/>
      <c r="M128" s="46"/>
      <c r="N128" s="54"/>
      <c r="S128" s="43"/>
      <c r="T128" s="43"/>
      <c r="U128" s="43"/>
      <c r="V128" s="50"/>
      <c r="W128" s="50"/>
      <c r="X128" s="50"/>
      <c r="Y128" s="43"/>
      <c r="Z128" s="43"/>
      <c r="AA128" s="43"/>
      <c r="AB128" s="43"/>
      <c r="AC128" s="43"/>
      <c r="AD128" s="43"/>
    </row>
    <row r="129" spans="1:30" s="42" customFormat="1" ht="21" customHeight="1" x14ac:dyDescent="0.45">
      <c r="A129" s="43"/>
      <c r="C129" s="47"/>
      <c r="D129" s="47"/>
      <c r="E129" s="40"/>
      <c r="F129" s="48"/>
      <c r="G129" s="40"/>
      <c r="H129" s="40"/>
      <c r="I129" s="39"/>
      <c r="J129" s="39"/>
      <c r="K129" s="43"/>
      <c r="L129" s="45"/>
      <c r="M129" s="46"/>
      <c r="N129" s="54"/>
      <c r="S129" s="43"/>
      <c r="T129" s="43"/>
      <c r="U129" s="43"/>
      <c r="V129" s="50"/>
      <c r="W129" s="50"/>
      <c r="X129" s="50"/>
      <c r="Y129" s="43"/>
      <c r="Z129" s="43"/>
      <c r="AA129" s="43"/>
      <c r="AB129" s="43"/>
      <c r="AC129" s="43"/>
      <c r="AD129" s="43"/>
    </row>
    <row r="130" spans="1:30" s="42" customFormat="1" x14ac:dyDescent="0.45">
      <c r="A130" s="43"/>
      <c r="C130" s="47"/>
      <c r="D130" s="47"/>
      <c r="E130" s="40"/>
      <c r="F130" s="48"/>
      <c r="G130" s="40"/>
      <c r="H130" s="40"/>
      <c r="I130" s="39"/>
      <c r="J130" s="39"/>
      <c r="K130" s="43"/>
      <c r="L130" s="45"/>
      <c r="M130" s="46"/>
      <c r="N130" s="54"/>
      <c r="S130" s="43"/>
      <c r="T130" s="43"/>
      <c r="U130" s="43"/>
      <c r="V130" s="50"/>
      <c r="W130" s="50"/>
      <c r="X130" s="50"/>
      <c r="Y130" s="43"/>
      <c r="Z130" s="43"/>
      <c r="AA130" s="43"/>
      <c r="AB130" s="43"/>
      <c r="AC130" s="43"/>
      <c r="AD130" s="43"/>
    </row>
    <row r="131" spans="1:30" s="42" customFormat="1" x14ac:dyDescent="0.45">
      <c r="A131" s="43"/>
      <c r="C131" s="47">
        <f>SUBTOTAL(9,C3:C130)</f>
        <v>3308508.52</v>
      </c>
      <c r="D131" s="47">
        <f>SUBTOTAL(9,D3:D130)</f>
        <v>478161.36319999996</v>
      </c>
      <c r="E131" s="62">
        <f>SUBTOTAL(9,E3:E130)</f>
        <v>0</v>
      </c>
      <c r="F131" s="47">
        <f>SUBTOTAL(9,F3:F130)</f>
        <v>3786669.8832</v>
      </c>
      <c r="G131" s="40"/>
      <c r="H131" s="40"/>
      <c r="I131" s="39"/>
      <c r="J131" s="39"/>
      <c r="K131" s="43"/>
      <c r="L131" s="45"/>
      <c r="M131" s="46"/>
      <c r="N131" s="49"/>
      <c r="S131" s="43"/>
      <c r="T131" s="43"/>
      <c r="U131" s="43"/>
      <c r="V131" s="50"/>
      <c r="W131" s="50"/>
      <c r="X131" s="50"/>
      <c r="Y131" s="43"/>
      <c r="Z131" s="43"/>
      <c r="AA131" s="43"/>
      <c r="AB131" s="43"/>
      <c r="AC131" s="43"/>
      <c r="AD131" s="43"/>
    </row>
    <row r="132" spans="1:30" s="42" customFormat="1" x14ac:dyDescent="0.45">
      <c r="A132" s="43"/>
      <c r="C132" s="47">
        <f>SUBTOTAL(9,C3:C131)</f>
        <v>3308508.52</v>
      </c>
      <c r="D132" s="47">
        <f>SUBTOTAL(9,D3:D131)</f>
        <v>478161.36319999996</v>
      </c>
      <c r="E132" s="40"/>
      <c r="F132" s="47">
        <f>SUBTOTAL(9,F3:F131)</f>
        <v>3786669.8832</v>
      </c>
      <c r="G132" s="40"/>
      <c r="H132" s="40"/>
      <c r="I132" s="39"/>
      <c r="J132" s="39"/>
      <c r="K132" s="43"/>
      <c r="L132" s="45"/>
      <c r="M132" s="46"/>
      <c r="N132" s="49"/>
      <c r="S132" s="43"/>
      <c r="T132" s="43"/>
      <c r="U132" s="43"/>
      <c r="V132" s="50"/>
      <c r="W132" s="50"/>
      <c r="X132" s="50"/>
      <c r="Y132" s="43"/>
      <c r="Z132" s="43"/>
      <c r="AA132" s="43"/>
      <c r="AB132" s="43"/>
      <c r="AC132" s="43"/>
      <c r="AD132" s="43"/>
    </row>
    <row r="133" spans="1:30" s="42" customFormat="1" x14ac:dyDescent="0.45">
      <c r="A133" s="43"/>
      <c r="C133" s="47">
        <f>SUBTOTAL(9,C3:C132)</f>
        <v>3308508.52</v>
      </c>
      <c r="D133" s="47">
        <f>SUBTOTAL(9,D3:D132)</f>
        <v>478161.36319999996</v>
      </c>
      <c r="E133" s="40"/>
      <c r="F133" s="47">
        <f>SUBTOTAL(9,F3:F132)</f>
        <v>3786669.8832</v>
      </c>
      <c r="G133" s="40"/>
      <c r="H133" s="40"/>
      <c r="I133" s="39"/>
      <c r="J133" s="39"/>
      <c r="K133" s="43"/>
      <c r="L133" s="45"/>
      <c r="M133" s="46"/>
      <c r="N133" s="49"/>
      <c r="S133" s="43"/>
      <c r="T133" s="43"/>
      <c r="U133" s="43"/>
      <c r="V133" s="50"/>
      <c r="W133" s="50"/>
      <c r="X133" s="50"/>
      <c r="Y133" s="43"/>
      <c r="Z133" s="43"/>
      <c r="AA133" s="43"/>
      <c r="AB133" s="43"/>
      <c r="AC133" s="43"/>
      <c r="AD133" s="43"/>
    </row>
    <row r="135" spans="1:30" s="42" customFormat="1" x14ac:dyDescent="0.45">
      <c r="A135" s="43"/>
      <c r="C135" s="47">
        <f>F135/1.16</f>
        <v>293333.33620689658</v>
      </c>
      <c r="D135" s="47">
        <f>C135*0.16</f>
        <v>46933.333793103455</v>
      </c>
      <c r="E135" s="40"/>
      <c r="F135" s="47">
        <v>340266.67</v>
      </c>
      <c r="G135" s="40"/>
      <c r="H135" s="40"/>
      <c r="I135" s="39"/>
      <c r="J135" s="39"/>
      <c r="K135" s="43"/>
      <c r="L135" s="45"/>
      <c r="M135" s="46"/>
      <c r="N135" s="49"/>
      <c r="S135" s="43"/>
      <c r="T135" s="43"/>
      <c r="U135" s="43"/>
      <c r="V135" s="50"/>
      <c r="W135" s="50"/>
      <c r="X135" s="50"/>
      <c r="Y135" s="43"/>
      <c r="Z135" s="43"/>
      <c r="AA135" s="43"/>
      <c r="AB135" s="43"/>
      <c r="AC135" s="43"/>
      <c r="AD135" s="43"/>
    </row>
    <row r="136" spans="1:30" s="42" customFormat="1" x14ac:dyDescent="0.45">
      <c r="A136" s="43"/>
      <c r="C136" s="47">
        <v>293333.33620689658</v>
      </c>
      <c r="D136" s="47">
        <f>C136*0.16</f>
        <v>46933.333793103455</v>
      </c>
      <c r="E136" s="40"/>
      <c r="F136" s="48">
        <f>C136+D136</f>
        <v>340266.67000000004</v>
      </c>
      <c r="G136" s="40"/>
      <c r="H136" s="40"/>
      <c r="I136" s="39"/>
      <c r="J136" s="39"/>
      <c r="K136" s="43"/>
      <c r="L136" s="45"/>
      <c r="M136" s="46"/>
      <c r="N136" s="49"/>
      <c r="S136" s="43"/>
      <c r="T136" s="43"/>
      <c r="U136" s="43"/>
      <c r="V136" s="50"/>
      <c r="W136" s="50"/>
      <c r="X136" s="50"/>
      <c r="Y136" s="43"/>
      <c r="Z136" s="43"/>
      <c r="AA136" s="43"/>
      <c r="AB136" s="43"/>
      <c r="AC136" s="43"/>
      <c r="AD136" s="43"/>
    </row>
    <row r="137" spans="1:30" s="42" customFormat="1" x14ac:dyDescent="0.45">
      <c r="A137" s="43"/>
      <c r="C137" s="47">
        <v>293333.33620689658</v>
      </c>
      <c r="D137" s="47">
        <f>C137*0.16</f>
        <v>46933.333793103455</v>
      </c>
      <c r="E137" s="40"/>
      <c r="F137" s="48">
        <f>C137+D137</f>
        <v>340266.67000000004</v>
      </c>
      <c r="G137" s="40"/>
      <c r="H137" s="40"/>
      <c r="I137" s="39"/>
      <c r="J137" s="39"/>
      <c r="K137" s="43"/>
      <c r="L137" s="45"/>
      <c r="M137" s="46"/>
      <c r="N137" s="49"/>
      <c r="S137" s="43"/>
      <c r="T137" s="43"/>
      <c r="U137" s="43"/>
      <c r="V137" s="50"/>
      <c r="W137" s="50"/>
      <c r="X137" s="50"/>
      <c r="Y137" s="43"/>
      <c r="Z137" s="43"/>
      <c r="AA137" s="43"/>
      <c r="AB137" s="43"/>
      <c r="AC137" s="43"/>
      <c r="AD137" s="43"/>
    </row>
    <row r="140" spans="1:30" s="42" customFormat="1" x14ac:dyDescent="0.45">
      <c r="A140" s="43"/>
      <c r="C140" s="47"/>
      <c r="D140" s="47"/>
      <c r="E140" s="40"/>
      <c r="F140" s="48"/>
      <c r="G140" s="40"/>
      <c r="H140" s="40"/>
      <c r="I140" s="39"/>
      <c r="J140" s="39"/>
      <c r="K140" s="43"/>
      <c r="L140" s="45"/>
      <c r="M140" s="46">
        <v>20</v>
      </c>
      <c r="N140" s="49">
        <v>1999</v>
      </c>
      <c r="S140" s="43"/>
      <c r="T140" s="43"/>
      <c r="U140" s="43"/>
      <c r="V140" s="50"/>
      <c r="W140" s="50"/>
      <c r="X140" s="50"/>
      <c r="Y140" s="43"/>
      <c r="Z140" s="43"/>
      <c r="AA140" s="43"/>
      <c r="AB140" s="43"/>
      <c r="AC140" s="43"/>
      <c r="AD140" s="43"/>
    </row>
    <row r="141" spans="1:30" s="42" customFormat="1" x14ac:dyDescent="0.45">
      <c r="A141" s="43"/>
      <c r="C141" s="47"/>
      <c r="D141" s="47"/>
      <c r="E141" s="40"/>
      <c r="F141" s="48"/>
      <c r="G141" s="40"/>
      <c r="H141" s="40"/>
      <c r="I141" s="39"/>
      <c r="J141" s="39"/>
      <c r="K141" s="43"/>
      <c r="L141" s="45"/>
      <c r="M141" s="46">
        <v>10</v>
      </c>
      <c r="N141" s="49">
        <f>M141*N140/M140</f>
        <v>999.5</v>
      </c>
      <c r="S141" s="43"/>
      <c r="T141" s="43"/>
      <c r="U141" s="43"/>
      <c r="V141" s="50"/>
      <c r="W141" s="50"/>
      <c r="X141" s="50"/>
      <c r="Y141" s="43"/>
      <c r="Z141" s="43"/>
      <c r="AA141" s="43"/>
      <c r="AB141" s="43"/>
      <c r="AC141" s="43"/>
      <c r="AD141" s="43"/>
    </row>
  </sheetData>
  <autoFilter ref="A2:AD128" xr:uid="{5A32D9B1-4C56-4675-AD2B-6637513DC704}">
    <filterColumn colId="11">
      <filters blank="1">
        <filter val="AXA SEGUROS"/>
        <filter val="BANCO ACTINVER, S.A., INSTITUCION DE BANCA_x000a_ MULTIPLE, GRUPO FINANCIERO (ADVANCE)"/>
        <filter val="BANCO MERCANTIL DEL NORTE SA INSTITUCION _x000a_DE BANCA MULTIPLE GRUPO"/>
        <filter val="BINANCE INVESTMENTS CO., LTD"/>
        <filter val="BIOMETRIA APLICADA"/>
        <filter val="Gobierno del Estado de Chihuahua"/>
        <filter val="PowerUp Technology Inc."/>
        <filter val="WALDO'S DOLAR MART DE MEXICO"/>
        <filter val="XIGNUX CORPORATIVO"/>
      </filters>
    </filterColumn>
    <filterColumn colId="17">
      <filters blank="1">
        <filter val="REVISIÓN"/>
      </filters>
    </filterColumn>
  </autoFilter>
  <mergeCells count="2">
    <mergeCell ref="A127:B127"/>
    <mergeCell ref="A128:B128"/>
  </mergeCells>
  <conditionalFormatting sqref="P3:P11 P13:P23 P25:P30 P32:P41 P43:P53 P56:P60 P62:P64 P66:P67 P69:P83 P85:P99 P101:P109 P112:P126">
    <cfRule type="containsText" dxfId="63" priority="19" operator="containsText" text="SIN FECHA">
      <formula>NOT(ISERROR(SEARCH("SIN FECHA",P3)))</formula>
    </cfRule>
  </conditionalFormatting>
  <conditionalFormatting sqref="P128:P129">
    <cfRule type="containsText" dxfId="62" priority="21" operator="containsText" text="SIN FECHA">
      <formula>NOT(ISERROR(SEARCH("SIN FECHA",P128)))</formula>
    </cfRule>
  </conditionalFormatting>
  <conditionalFormatting sqref="Q1:Q1048576">
    <cfRule type="cellIs" dxfId="61" priority="6" operator="equal">
      <formula>"PAGADO"</formula>
    </cfRule>
    <cfRule type="cellIs" dxfId="60" priority="7" operator="equal">
      <formula>"ON TRACK"</formula>
    </cfRule>
  </conditionalFormatting>
  <conditionalFormatting sqref="R1:R1048576">
    <cfRule type="cellIs" dxfId="59" priority="15" operator="equal">
      <formula>"cancelada"</formula>
    </cfRule>
    <cfRule type="cellIs" dxfId="58" priority="16" operator="equal">
      <formula>"REVISIÓN"</formula>
    </cfRule>
    <cfRule type="notContainsBlanks" dxfId="57" priority="17">
      <formula>LEN(TRIM(R1))&gt;0</formula>
    </cfRule>
  </conditionalFormatting>
  <pageMargins left="0.31496062992125984" right="0.31496062992125984" top="0.74803149606299213" bottom="0.74803149606299213" header="0.31496062992125984" footer="0.31496062992125984"/>
  <pageSetup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8813-B60C-4A22-96EF-63556D314FA9}">
  <dimension ref="A1:AA89"/>
  <sheetViews>
    <sheetView workbookViewId="0">
      <pane xSplit="3" ySplit="2" topLeftCell="L4" activePane="bottomRight" state="frozen"/>
      <selection pane="topRight" activeCell="D1" sqref="D1"/>
      <selection pane="bottomLeft" activeCell="A3" sqref="A3"/>
      <selection pane="bottomRight" activeCell="R10" sqref="R10"/>
    </sheetView>
  </sheetViews>
  <sheetFormatPr baseColWidth="10" defaultColWidth="11.53125" defaultRowHeight="14.25" outlineLevelCol="2" x14ac:dyDescent="0.45"/>
  <cols>
    <col min="1" max="1" width="5.265625" style="35" bestFit="1" customWidth="1"/>
    <col min="2" max="2" width="12.53125" style="33" customWidth="1" outlineLevel="1"/>
    <col min="3" max="3" width="13.53125" style="62" customWidth="1" outlineLevel="1"/>
    <col min="4" max="4" width="11.796875" style="62" bestFit="1" customWidth="1" outlineLevel="1"/>
    <col min="5" max="5" width="16" style="40" hidden="1" customWidth="1" outlineLevel="2"/>
    <col min="6" max="6" width="15.06640625" style="39" customWidth="1"/>
    <col min="7" max="8" width="11.796875" style="40" hidden="1" customWidth="1" outlineLevel="1"/>
    <col min="9" max="9" width="12.19921875" style="39" hidden="1" customWidth="1" outlineLevel="1"/>
    <col min="10" max="10" width="8.796875" style="39" hidden="1" customWidth="1" outlineLevel="1"/>
    <col min="11" max="11" width="15.9296875" style="35" customWidth="1" collapsed="1"/>
    <col min="12" max="12" width="33.73046875" style="102" customWidth="1"/>
    <col min="13" max="13" width="28.46484375" style="103" customWidth="1" outlineLevel="2"/>
    <col min="14" max="14" width="18.265625" style="49" customWidth="1" outlineLevel="2"/>
    <col min="15" max="15" width="13.19921875" style="33" customWidth="1" outlineLevel="1"/>
    <col min="16" max="16" width="15.46484375" style="33" customWidth="1"/>
    <col min="17" max="17" width="10.73046875" style="33" customWidth="1"/>
    <col min="18" max="18" width="17.46484375" style="33" customWidth="1"/>
    <col min="19" max="19" width="74.53125" style="35" customWidth="1" outlineLevel="1"/>
    <col min="20" max="20" width="13.19921875" style="35" customWidth="1"/>
    <col min="21" max="21" width="12.265625" style="35" bestFit="1" customWidth="1"/>
    <col min="22" max="22" width="13.796875" style="101" customWidth="1"/>
    <col min="23" max="24" width="13.53125" style="101" customWidth="1"/>
    <col min="25" max="25" width="11.53125" style="35"/>
    <col min="26" max="27" width="12.265625" style="35" bestFit="1" customWidth="1"/>
    <col min="28" max="16384" width="11.53125" style="35"/>
  </cols>
  <sheetData>
    <row r="1" spans="1:27" s="73" customFormat="1" ht="44.25" customHeight="1" thickBot="1" x14ac:dyDescent="0.5">
      <c r="A1" s="63" t="s">
        <v>10</v>
      </c>
      <c r="B1" s="64" t="s">
        <v>0</v>
      </c>
      <c r="C1" s="65" t="s">
        <v>1</v>
      </c>
      <c r="D1" s="65"/>
      <c r="E1" s="4"/>
      <c r="F1" s="65"/>
      <c r="G1" s="5" t="s">
        <v>2</v>
      </c>
      <c r="H1" s="5"/>
      <c r="I1" s="5"/>
      <c r="J1" s="5" t="s">
        <v>3</v>
      </c>
      <c r="K1" s="66" t="s">
        <v>58</v>
      </c>
      <c r="L1" s="67" t="s">
        <v>4</v>
      </c>
      <c r="M1" s="68" t="s">
        <v>59</v>
      </c>
      <c r="N1" s="9" t="s">
        <v>60</v>
      </c>
      <c r="O1" s="64" t="s">
        <v>61</v>
      </c>
      <c r="P1" s="64" t="s">
        <v>62</v>
      </c>
      <c r="Q1" s="69" t="s">
        <v>7</v>
      </c>
      <c r="R1" s="70" t="s">
        <v>8</v>
      </c>
      <c r="S1" s="71" t="s">
        <v>63</v>
      </c>
      <c r="T1" s="72">
        <f ca="1">TODAY()</f>
        <v>46122</v>
      </c>
      <c r="V1" s="74"/>
      <c r="W1" s="74"/>
      <c r="X1" s="74"/>
    </row>
    <row r="2" spans="1:27" s="73" customFormat="1" ht="28.9" thickBot="1" x14ac:dyDescent="0.5">
      <c r="A2" s="75" t="s">
        <v>10</v>
      </c>
      <c r="B2" s="76">
        <f>COUNTA(A3:A21)</f>
        <v>11</v>
      </c>
      <c r="C2" s="77" t="s">
        <v>11</v>
      </c>
      <c r="D2" s="78" t="s">
        <v>12</v>
      </c>
      <c r="E2" s="20" t="s">
        <v>13</v>
      </c>
      <c r="F2" s="79" t="s">
        <v>14</v>
      </c>
      <c r="G2" s="22" t="s">
        <v>15</v>
      </c>
      <c r="H2" s="22" t="s">
        <v>12</v>
      </c>
      <c r="I2" s="22" t="s">
        <v>14</v>
      </c>
      <c r="J2" s="23"/>
      <c r="K2" s="80"/>
      <c r="L2" s="81"/>
      <c r="M2" s="82"/>
      <c r="N2" s="27"/>
      <c r="O2" s="83"/>
      <c r="P2" s="64" t="s">
        <v>6</v>
      </c>
      <c r="Q2" s="84" t="s">
        <v>19</v>
      </c>
      <c r="R2" s="85"/>
      <c r="S2" s="86"/>
      <c r="T2" s="73" t="s">
        <v>21</v>
      </c>
      <c r="U2" s="73" t="s">
        <v>22</v>
      </c>
      <c r="V2" s="74" t="s">
        <v>23</v>
      </c>
      <c r="W2" s="74" t="s">
        <v>12</v>
      </c>
      <c r="X2" s="74" t="s">
        <v>24</v>
      </c>
      <c r="Y2" s="73" t="s">
        <v>25</v>
      </c>
      <c r="Z2" s="73" t="s">
        <v>26</v>
      </c>
      <c r="AA2" s="73" t="s">
        <v>27</v>
      </c>
    </row>
    <row r="3" spans="1:27" x14ac:dyDescent="0.45">
      <c r="A3" s="87">
        <v>253</v>
      </c>
      <c r="B3" s="88">
        <v>46027</v>
      </c>
      <c r="C3" s="89">
        <v>40000</v>
      </c>
      <c r="D3" s="89">
        <f t="shared" ref="D3:D26" si="0">C3*0.16</f>
        <v>6400</v>
      </c>
      <c r="E3" s="89"/>
      <c r="F3" s="89">
        <f t="shared" ref="F3:F26" si="1">C3+D3</f>
        <v>46400</v>
      </c>
      <c r="G3" s="89"/>
      <c r="H3" s="89"/>
      <c r="I3" s="90"/>
      <c r="J3" s="90"/>
      <c r="K3" s="92" t="s">
        <v>28</v>
      </c>
      <c r="L3" s="93" t="s">
        <v>29</v>
      </c>
      <c r="M3" s="87" t="s">
        <v>66</v>
      </c>
      <c r="N3" s="94" t="s">
        <v>35</v>
      </c>
      <c r="O3" s="88">
        <v>46027</v>
      </c>
      <c r="P3" s="88">
        <v>46042</v>
      </c>
      <c r="Q3" s="88" t="str">
        <f t="shared" ref="Q3:Q27" ca="1" si="2">IF(AND(R3&lt;&gt;"",P3&lt;$T$1),"PAGADO","ON TRACK")</f>
        <v>PAGADO</v>
      </c>
      <c r="R3" s="91" t="str">
        <f t="shared" ref="R3:R15" ca="1" si="3">IF(P3&gt;(TODAY()),"","REVISIÓN")</f>
        <v>REVISIÓN</v>
      </c>
      <c r="V3" s="35"/>
      <c r="W3" s="35"/>
      <c r="X3" s="35"/>
    </row>
    <row r="4" spans="1:27" x14ac:dyDescent="0.45">
      <c r="A4" s="87">
        <v>254</v>
      </c>
      <c r="B4" s="88">
        <v>46027</v>
      </c>
      <c r="C4" s="89">
        <v>80000</v>
      </c>
      <c r="D4" s="89">
        <f t="shared" si="0"/>
        <v>12800</v>
      </c>
      <c r="E4" s="89"/>
      <c r="F4" s="89">
        <f t="shared" si="1"/>
        <v>92800</v>
      </c>
      <c r="G4" s="89"/>
      <c r="H4" s="89"/>
      <c r="I4" s="90"/>
      <c r="J4" s="90"/>
      <c r="K4" s="92" t="s">
        <v>64</v>
      </c>
      <c r="L4" s="93" t="s">
        <v>65</v>
      </c>
      <c r="M4" s="87" t="s">
        <v>34</v>
      </c>
      <c r="N4" s="94" t="s">
        <v>35</v>
      </c>
      <c r="O4" s="88">
        <v>46027</v>
      </c>
      <c r="P4" s="88">
        <v>46042</v>
      </c>
      <c r="Q4" s="88" t="str">
        <f t="shared" ca="1" si="2"/>
        <v>PAGADO</v>
      </c>
      <c r="R4" s="91">
        <v>46051</v>
      </c>
      <c r="V4" s="35"/>
      <c r="W4" s="35"/>
      <c r="X4" s="35"/>
    </row>
    <row r="5" spans="1:27" ht="17.55" customHeight="1" x14ac:dyDescent="0.45">
      <c r="A5" s="87">
        <v>255</v>
      </c>
      <c r="B5" s="88">
        <v>46042</v>
      </c>
      <c r="C5" s="89">
        <v>35000</v>
      </c>
      <c r="D5" s="89">
        <f t="shared" si="0"/>
        <v>5600</v>
      </c>
      <c r="E5" s="89"/>
      <c r="F5" s="89">
        <f t="shared" si="1"/>
        <v>40600</v>
      </c>
      <c r="G5" s="89"/>
      <c r="H5" s="89"/>
      <c r="I5" s="90"/>
      <c r="J5" s="90"/>
      <c r="K5" s="92" t="s">
        <v>93</v>
      </c>
      <c r="L5" s="93" t="s">
        <v>94</v>
      </c>
      <c r="M5" s="87" t="s">
        <v>95</v>
      </c>
      <c r="N5" s="113" t="s">
        <v>96</v>
      </c>
      <c r="O5" s="88">
        <v>46042</v>
      </c>
      <c r="P5" s="88">
        <f>B5+60</f>
        <v>46102</v>
      </c>
      <c r="Q5" s="88" t="str">
        <f t="shared" ca="1" si="2"/>
        <v>PAGADO</v>
      </c>
      <c r="R5" s="91">
        <v>46105</v>
      </c>
      <c r="V5" s="35"/>
      <c r="W5" s="35"/>
      <c r="X5" s="35"/>
    </row>
    <row r="6" spans="1:27" ht="17.55" customHeight="1" x14ac:dyDescent="0.45">
      <c r="A6" s="87">
        <v>256</v>
      </c>
      <c r="B6" s="88">
        <v>46056</v>
      </c>
      <c r="C6" s="89">
        <v>40000</v>
      </c>
      <c r="D6" s="89">
        <f t="shared" ref="D6:D14" si="4">C6*0.16</f>
        <v>6400</v>
      </c>
      <c r="E6" s="89"/>
      <c r="F6" s="89">
        <f t="shared" ref="F6:F14" si="5">C6+D6</f>
        <v>46400</v>
      </c>
      <c r="G6" s="89"/>
      <c r="H6" s="89"/>
      <c r="I6" s="90"/>
      <c r="J6" s="90"/>
      <c r="K6" s="92" t="s">
        <v>28</v>
      </c>
      <c r="L6" s="93" t="s">
        <v>29</v>
      </c>
      <c r="M6" s="87" t="s">
        <v>157</v>
      </c>
      <c r="N6" s="113" t="s">
        <v>158</v>
      </c>
      <c r="O6" s="88">
        <v>46056</v>
      </c>
      <c r="P6" s="88">
        <v>46071</v>
      </c>
      <c r="Q6" s="88" t="str">
        <f t="shared" ref="Q6:Q14" ca="1" si="6">IF(AND(R6&lt;&gt;"",P6&lt;$T$1),"PAGADO","ON TRACK")</f>
        <v>PAGADO</v>
      </c>
      <c r="R6" s="91" t="str">
        <f t="shared" ref="R6:R14" ca="1" si="7">IF(P6&gt;(TODAY()),"","REVISIÓN")</f>
        <v>REVISIÓN</v>
      </c>
      <c r="V6" s="35"/>
      <c r="W6" s="35"/>
      <c r="X6" s="35"/>
    </row>
    <row r="7" spans="1:27" ht="17.55" customHeight="1" x14ac:dyDescent="0.45">
      <c r="A7" s="87">
        <v>257</v>
      </c>
      <c r="B7" s="88">
        <v>46056</v>
      </c>
      <c r="C7" s="89">
        <v>80000</v>
      </c>
      <c r="D7" s="89">
        <f t="shared" si="4"/>
        <v>12800</v>
      </c>
      <c r="E7" s="89"/>
      <c r="F7" s="89">
        <f t="shared" si="5"/>
        <v>92800</v>
      </c>
      <c r="G7" s="89"/>
      <c r="H7" s="89"/>
      <c r="I7" s="90"/>
      <c r="J7" s="90"/>
      <c r="K7" s="92" t="s">
        <v>64</v>
      </c>
      <c r="L7" s="93" t="s">
        <v>65</v>
      </c>
      <c r="M7" s="87" t="s">
        <v>159</v>
      </c>
      <c r="N7" s="113" t="s">
        <v>158</v>
      </c>
      <c r="O7" s="88">
        <v>46056</v>
      </c>
      <c r="P7" s="88">
        <v>46071</v>
      </c>
      <c r="Q7" s="88" t="str">
        <f t="shared" ca="1" si="6"/>
        <v>PAGADO</v>
      </c>
      <c r="R7" s="91">
        <v>46079</v>
      </c>
      <c r="V7" s="35"/>
      <c r="W7" s="35"/>
      <c r="X7" s="35"/>
    </row>
    <row r="8" spans="1:27" ht="17.55" customHeight="1" x14ac:dyDescent="0.45">
      <c r="A8" s="87">
        <v>258</v>
      </c>
      <c r="B8" s="88">
        <v>46079</v>
      </c>
      <c r="C8" s="89"/>
      <c r="D8" s="89">
        <f t="shared" si="4"/>
        <v>0</v>
      </c>
      <c r="E8" s="89"/>
      <c r="F8" s="89">
        <f t="shared" si="5"/>
        <v>0</v>
      </c>
      <c r="G8" s="89">
        <v>45000</v>
      </c>
      <c r="H8" s="261">
        <v>0</v>
      </c>
      <c r="I8" s="90">
        <f>G8+H8</f>
        <v>45000</v>
      </c>
      <c r="J8" s="260">
        <v>17.190999999999999</v>
      </c>
      <c r="K8" s="92" t="s">
        <v>31</v>
      </c>
      <c r="L8" s="93" t="s">
        <v>264</v>
      </c>
      <c r="M8" s="87" t="s">
        <v>265</v>
      </c>
      <c r="N8" s="87" t="s">
        <v>265</v>
      </c>
      <c r="O8" s="88">
        <v>46079</v>
      </c>
      <c r="P8" s="88">
        <v>46094</v>
      </c>
      <c r="Q8" s="88" t="s">
        <v>161</v>
      </c>
      <c r="R8" s="91">
        <v>46079</v>
      </c>
      <c r="S8" s="262" t="s">
        <v>266</v>
      </c>
      <c r="V8" s="35"/>
      <c r="W8" s="35"/>
      <c r="X8" s="35"/>
    </row>
    <row r="9" spans="1:27" ht="17.55" customHeight="1" x14ac:dyDescent="0.45">
      <c r="A9" s="87">
        <v>259</v>
      </c>
      <c r="B9" s="88">
        <v>46083</v>
      </c>
      <c r="C9" s="89">
        <v>40000</v>
      </c>
      <c r="D9" s="89">
        <f t="shared" si="4"/>
        <v>6400</v>
      </c>
      <c r="E9" s="89"/>
      <c r="F9" s="89">
        <f t="shared" si="5"/>
        <v>46400</v>
      </c>
      <c r="G9" s="89"/>
      <c r="H9" s="89"/>
      <c r="I9" s="90"/>
      <c r="J9" s="90"/>
      <c r="K9" s="92" t="s">
        <v>28</v>
      </c>
      <c r="L9" s="93" t="s">
        <v>29</v>
      </c>
      <c r="M9" s="87" t="s">
        <v>303</v>
      </c>
      <c r="N9" s="113" t="s">
        <v>304</v>
      </c>
      <c r="O9" s="88">
        <v>46083</v>
      </c>
      <c r="P9" s="88">
        <v>46098</v>
      </c>
      <c r="Q9" s="88" t="str">
        <f t="shared" ca="1" si="6"/>
        <v>PAGADO</v>
      </c>
      <c r="R9" s="91" t="str">
        <f t="shared" ca="1" si="7"/>
        <v>REVISIÓN</v>
      </c>
      <c r="V9" s="35"/>
      <c r="W9" s="35"/>
      <c r="X9" s="35"/>
    </row>
    <row r="10" spans="1:27" ht="17.55" customHeight="1" x14ac:dyDescent="0.45">
      <c r="A10" s="87">
        <v>260</v>
      </c>
      <c r="B10" s="88">
        <v>46083</v>
      </c>
      <c r="C10" s="89">
        <v>80000</v>
      </c>
      <c r="D10" s="89">
        <f t="shared" si="4"/>
        <v>12800</v>
      </c>
      <c r="E10" s="89"/>
      <c r="F10" s="89">
        <f t="shared" si="5"/>
        <v>92800</v>
      </c>
      <c r="G10" s="89"/>
      <c r="H10" s="89"/>
      <c r="I10" s="90"/>
      <c r="J10" s="90"/>
      <c r="K10" s="92" t="s">
        <v>64</v>
      </c>
      <c r="L10" s="93" t="s">
        <v>65</v>
      </c>
      <c r="M10" s="87" t="s">
        <v>305</v>
      </c>
      <c r="N10" s="113" t="s">
        <v>304</v>
      </c>
      <c r="O10" s="88">
        <v>46083</v>
      </c>
      <c r="P10" s="88">
        <v>46098</v>
      </c>
      <c r="Q10" s="88" t="str">
        <f t="shared" ca="1" si="6"/>
        <v>PAGADO</v>
      </c>
      <c r="R10" s="91">
        <v>46107</v>
      </c>
      <c r="V10" s="35"/>
      <c r="W10" s="35"/>
      <c r="X10" s="35"/>
    </row>
    <row r="11" spans="1:27" ht="17.55" customHeight="1" x14ac:dyDescent="0.45">
      <c r="A11" s="87">
        <v>261</v>
      </c>
      <c r="B11" s="88">
        <v>46085</v>
      </c>
      <c r="C11" s="89">
        <v>35000</v>
      </c>
      <c r="D11" s="89">
        <f t="shared" si="4"/>
        <v>5600</v>
      </c>
      <c r="E11" s="89"/>
      <c r="F11" s="89">
        <f t="shared" si="5"/>
        <v>40600</v>
      </c>
      <c r="G11" s="89"/>
      <c r="H11" s="89"/>
      <c r="I11" s="90"/>
      <c r="J11" s="90"/>
      <c r="K11" s="92" t="s">
        <v>93</v>
      </c>
      <c r="L11" s="93" t="s">
        <v>94</v>
      </c>
      <c r="M11" s="87" t="s">
        <v>356</v>
      </c>
      <c r="N11" s="113" t="s">
        <v>357</v>
      </c>
      <c r="O11" s="88">
        <v>46085</v>
      </c>
      <c r="P11" s="88">
        <f>B11+60</f>
        <v>46145</v>
      </c>
      <c r="Q11" s="88" t="str">
        <f t="shared" ca="1" si="6"/>
        <v>ON TRACK</v>
      </c>
      <c r="R11" s="91" t="str">
        <f t="shared" ca="1" si="7"/>
        <v/>
      </c>
      <c r="V11" s="35"/>
      <c r="W11" s="35"/>
      <c r="X11" s="35"/>
    </row>
    <row r="12" spans="1:27" ht="17.55" customHeight="1" x14ac:dyDescent="0.45">
      <c r="A12" s="87"/>
      <c r="B12" s="88"/>
      <c r="C12" s="89"/>
      <c r="D12" s="89">
        <f t="shared" si="4"/>
        <v>0</v>
      </c>
      <c r="E12" s="89"/>
      <c r="F12" s="89">
        <f t="shared" si="5"/>
        <v>0</v>
      </c>
      <c r="G12" s="89"/>
      <c r="H12" s="89"/>
      <c r="I12" s="90"/>
      <c r="J12" s="90"/>
      <c r="K12" s="92"/>
      <c r="L12" s="93"/>
      <c r="M12" s="87"/>
      <c r="N12" s="113"/>
      <c r="O12" s="88"/>
      <c r="P12" s="88"/>
      <c r="Q12" s="88" t="str">
        <f t="shared" ca="1" si="6"/>
        <v>PAGADO</v>
      </c>
      <c r="R12" s="91" t="str">
        <f t="shared" ca="1" si="7"/>
        <v>REVISIÓN</v>
      </c>
      <c r="V12" s="35"/>
      <c r="W12" s="35"/>
      <c r="X12" s="35"/>
    </row>
    <row r="13" spans="1:27" ht="17.55" customHeight="1" x14ac:dyDescent="0.45">
      <c r="A13" s="87"/>
      <c r="B13" s="88"/>
      <c r="C13" s="89"/>
      <c r="D13" s="89">
        <f t="shared" si="4"/>
        <v>0</v>
      </c>
      <c r="E13" s="89"/>
      <c r="F13" s="89">
        <f t="shared" si="5"/>
        <v>0</v>
      </c>
      <c r="G13" s="89"/>
      <c r="H13" s="89"/>
      <c r="I13" s="90"/>
      <c r="J13" s="90"/>
      <c r="K13" s="92"/>
      <c r="L13" s="93" t="s">
        <v>306</v>
      </c>
      <c r="M13" s="87"/>
      <c r="N13" s="113"/>
      <c r="O13" s="88"/>
      <c r="P13" s="88"/>
      <c r="Q13" s="88" t="str">
        <f t="shared" ca="1" si="6"/>
        <v>PAGADO</v>
      </c>
      <c r="R13" s="91" t="str">
        <f t="shared" ca="1" si="7"/>
        <v>REVISIÓN</v>
      </c>
      <c r="V13" s="35"/>
      <c r="W13" s="35"/>
      <c r="X13" s="35"/>
    </row>
    <row r="14" spans="1:27" ht="17.55" customHeight="1" x14ac:dyDescent="0.45">
      <c r="A14" s="87"/>
      <c r="B14" s="88"/>
      <c r="C14" s="89"/>
      <c r="D14" s="89">
        <f t="shared" si="4"/>
        <v>0</v>
      </c>
      <c r="E14" s="89"/>
      <c r="F14" s="89">
        <f t="shared" si="5"/>
        <v>0</v>
      </c>
      <c r="G14" s="89"/>
      <c r="H14" s="89"/>
      <c r="I14" s="90"/>
      <c r="J14" s="90"/>
      <c r="K14" s="92"/>
      <c r="L14" s="93"/>
      <c r="M14" s="87"/>
      <c r="N14" s="113"/>
      <c r="O14" s="88"/>
      <c r="P14" s="88"/>
      <c r="Q14" s="88" t="str">
        <f t="shared" ca="1" si="6"/>
        <v>PAGADO</v>
      </c>
      <c r="R14" s="91" t="str">
        <f t="shared" ca="1" si="7"/>
        <v>REVISIÓN</v>
      </c>
      <c r="V14" s="35"/>
      <c r="W14" s="35"/>
      <c r="X14" s="35"/>
    </row>
    <row r="15" spans="1:27" x14ac:dyDescent="0.45">
      <c r="A15" s="87"/>
      <c r="B15" s="88"/>
      <c r="C15" s="89"/>
      <c r="D15" s="89">
        <f t="shared" si="0"/>
        <v>0</v>
      </c>
      <c r="E15" s="89"/>
      <c r="F15" s="89">
        <f t="shared" si="1"/>
        <v>0</v>
      </c>
      <c r="G15" s="89"/>
      <c r="H15" s="89"/>
      <c r="I15" s="90"/>
      <c r="J15" s="90"/>
      <c r="K15" s="92"/>
      <c r="L15" s="93"/>
      <c r="M15" s="87"/>
      <c r="N15" s="94"/>
      <c r="O15" s="88"/>
      <c r="P15" s="88"/>
      <c r="Q15" s="88" t="str">
        <f t="shared" ca="1" si="2"/>
        <v>PAGADO</v>
      </c>
      <c r="R15" s="91" t="str">
        <f t="shared" ca="1" si="3"/>
        <v>REVISIÓN</v>
      </c>
      <c r="V15" s="35"/>
      <c r="W15" s="35"/>
      <c r="X15" s="35"/>
    </row>
    <row r="16" spans="1:27" ht="14.65" thickBot="1" x14ac:dyDescent="0.5">
      <c r="A16" s="95"/>
      <c r="B16" s="91"/>
      <c r="C16" s="96"/>
      <c r="D16" s="89">
        <f t="shared" si="0"/>
        <v>0</v>
      </c>
      <c r="E16" s="89"/>
      <c r="F16" s="89">
        <f t="shared" si="1"/>
        <v>0</v>
      </c>
      <c r="G16" s="97"/>
      <c r="H16" s="97"/>
      <c r="I16" s="98"/>
      <c r="J16" s="98"/>
      <c r="K16" s="95"/>
      <c r="L16" s="99"/>
      <c r="M16" s="99"/>
      <c r="N16" s="100"/>
      <c r="O16" s="91"/>
      <c r="P16" s="91"/>
      <c r="Q16" s="88" t="str">
        <f t="shared" ca="1" si="2"/>
        <v>ON TRACK</v>
      </c>
      <c r="R16" s="91"/>
    </row>
    <row r="17" spans="1:18" ht="15" thickTop="1" thickBot="1" x14ac:dyDescent="0.5">
      <c r="A17" s="286" t="s">
        <v>56</v>
      </c>
      <c r="B17" s="287"/>
      <c r="C17" s="51">
        <f>SUBTOTAL(9,C3:C15)</f>
        <v>430000</v>
      </c>
      <c r="D17" s="51">
        <f>SUBTOTAL(9,D3:D15)</f>
        <v>68800</v>
      </c>
      <c r="E17" s="51">
        <f>SUBTOTAL(9,E3:E15)</f>
        <v>0</v>
      </c>
      <c r="F17" s="51">
        <f>SUBTOTAL(9,F3:F15)</f>
        <v>498800</v>
      </c>
      <c r="G17" s="97"/>
      <c r="H17" s="97"/>
      <c r="I17" s="98"/>
      <c r="J17" s="98"/>
      <c r="K17" s="95"/>
      <c r="L17" s="99"/>
      <c r="M17" s="99"/>
      <c r="N17" s="100"/>
      <c r="O17" s="91"/>
      <c r="P17" s="91"/>
      <c r="Q17" s="88" t="str">
        <f t="shared" ca="1" si="2"/>
        <v>ON TRACK</v>
      </c>
      <c r="R17" s="91"/>
    </row>
    <row r="18" spans="1:18" ht="15" thickTop="1" thickBot="1" x14ac:dyDescent="0.5">
      <c r="A18" s="286" t="s">
        <v>57</v>
      </c>
      <c r="B18" s="287"/>
      <c r="C18" s="55">
        <f>C17+(G17*L18)</f>
        <v>430000</v>
      </c>
      <c r="D18" s="56">
        <f>D17+(H17*L18)</f>
        <v>68800</v>
      </c>
      <c r="E18" s="57">
        <f>E17+(I17*L18)</f>
        <v>0</v>
      </c>
      <c r="F18" s="58">
        <f>F17+(I17*L18)</f>
        <v>498800</v>
      </c>
      <c r="G18" s="97"/>
      <c r="H18" s="97"/>
      <c r="I18" s="98"/>
      <c r="J18" s="98"/>
      <c r="K18" s="95"/>
      <c r="L18" s="99"/>
      <c r="M18" s="99"/>
      <c r="N18" s="100"/>
      <c r="O18" s="91"/>
      <c r="P18" s="91"/>
      <c r="Q18" s="88" t="str">
        <f t="shared" ca="1" si="2"/>
        <v>ON TRACK</v>
      </c>
      <c r="R18" s="91"/>
    </row>
    <row r="19" spans="1:18" x14ac:dyDescent="0.45">
      <c r="A19" s="95"/>
      <c r="B19" s="91"/>
      <c r="C19" s="96"/>
      <c r="D19" s="89">
        <f t="shared" si="0"/>
        <v>0</v>
      </c>
      <c r="E19" s="89"/>
      <c r="F19" s="89">
        <f t="shared" si="1"/>
        <v>0</v>
      </c>
      <c r="G19" s="97"/>
      <c r="H19" s="97"/>
      <c r="I19" s="98"/>
      <c r="J19" s="98"/>
      <c r="K19" s="95"/>
      <c r="L19" s="99"/>
      <c r="M19" s="99"/>
      <c r="N19" s="100"/>
      <c r="O19" s="91"/>
      <c r="P19" s="91"/>
      <c r="Q19" s="88" t="str">
        <f t="shared" ca="1" si="2"/>
        <v>ON TRACK</v>
      </c>
      <c r="R19" s="91"/>
    </row>
    <row r="20" spans="1:18" x14ac:dyDescent="0.45">
      <c r="A20" s="95"/>
      <c r="B20" s="91"/>
      <c r="C20" s="96"/>
      <c r="D20" s="89">
        <f t="shared" si="0"/>
        <v>0</v>
      </c>
      <c r="E20" s="89"/>
      <c r="F20" s="89">
        <f t="shared" si="1"/>
        <v>0</v>
      </c>
      <c r="G20" s="97"/>
      <c r="H20" s="97"/>
      <c r="I20" s="98"/>
      <c r="J20" s="98"/>
      <c r="K20" s="95"/>
      <c r="L20" s="99"/>
      <c r="M20" s="99"/>
      <c r="N20" s="100"/>
      <c r="O20" s="91"/>
      <c r="P20" s="91"/>
      <c r="Q20" s="88" t="str">
        <f t="shared" ca="1" si="2"/>
        <v>ON TRACK</v>
      </c>
      <c r="R20" s="91"/>
    </row>
    <row r="21" spans="1:18" ht="14.65" thickBot="1" x14ac:dyDescent="0.5">
      <c r="A21" s="95"/>
      <c r="B21" s="91"/>
      <c r="C21" s="96"/>
      <c r="D21" s="89">
        <f t="shared" si="0"/>
        <v>0</v>
      </c>
      <c r="E21" s="89"/>
      <c r="F21" s="89">
        <f t="shared" si="1"/>
        <v>0</v>
      </c>
      <c r="G21" s="97"/>
      <c r="H21" s="97"/>
      <c r="I21" s="98"/>
      <c r="J21" s="98"/>
      <c r="K21" s="95"/>
      <c r="L21" s="99"/>
      <c r="M21" s="99"/>
      <c r="N21" s="100"/>
      <c r="O21" s="91"/>
      <c r="P21" s="91"/>
      <c r="Q21" s="88" t="str">
        <f t="shared" ca="1" si="2"/>
        <v>ON TRACK</v>
      </c>
      <c r="R21" s="91"/>
    </row>
    <row r="22" spans="1:18" ht="14.65" thickBot="1" x14ac:dyDescent="0.5">
      <c r="A22" s="288"/>
      <c r="B22" s="289"/>
      <c r="C22" s="96"/>
      <c r="D22" s="89">
        <f t="shared" si="0"/>
        <v>0</v>
      </c>
      <c r="E22" s="89"/>
      <c r="F22" s="89">
        <f t="shared" si="1"/>
        <v>0</v>
      </c>
      <c r="G22" s="97"/>
      <c r="H22" s="97"/>
      <c r="I22" s="98"/>
      <c r="J22" s="98"/>
      <c r="K22" s="95"/>
      <c r="L22" s="99"/>
      <c r="M22" s="99"/>
      <c r="N22" s="100"/>
      <c r="O22" s="91"/>
      <c r="P22" s="91"/>
      <c r="Q22" s="88" t="str">
        <f t="shared" ca="1" si="2"/>
        <v>ON TRACK</v>
      </c>
      <c r="R22" s="91"/>
    </row>
    <row r="23" spans="1:18" x14ac:dyDescent="0.45">
      <c r="A23" s="95"/>
      <c r="B23" s="91"/>
      <c r="C23" s="96"/>
      <c r="D23" s="89">
        <f t="shared" si="0"/>
        <v>0</v>
      </c>
      <c r="E23" s="89"/>
      <c r="F23" s="89">
        <f t="shared" si="1"/>
        <v>0</v>
      </c>
      <c r="G23" s="97"/>
      <c r="H23" s="97"/>
      <c r="I23" s="98"/>
      <c r="J23" s="98"/>
      <c r="K23" s="95"/>
      <c r="L23" s="99"/>
      <c r="M23" s="99"/>
      <c r="N23" s="100"/>
      <c r="O23" s="91"/>
      <c r="P23" s="91"/>
      <c r="Q23" s="88" t="str">
        <f t="shared" ca="1" si="2"/>
        <v>ON TRACK</v>
      </c>
      <c r="R23" s="91"/>
    </row>
    <row r="24" spans="1:18" x14ac:dyDescent="0.45">
      <c r="A24" s="95"/>
      <c r="B24" s="91"/>
      <c r="C24" s="96"/>
      <c r="D24" s="89">
        <f t="shared" si="0"/>
        <v>0</v>
      </c>
      <c r="E24" s="89"/>
      <c r="F24" s="89">
        <f t="shared" si="1"/>
        <v>0</v>
      </c>
      <c r="G24" s="97"/>
      <c r="H24" s="97"/>
      <c r="I24" s="98"/>
      <c r="J24" s="98"/>
      <c r="K24" s="95"/>
      <c r="L24" s="99"/>
      <c r="M24" s="99"/>
      <c r="N24" s="100"/>
      <c r="O24" s="91"/>
      <c r="P24" s="91"/>
      <c r="Q24" s="88" t="str">
        <f t="shared" ca="1" si="2"/>
        <v>ON TRACK</v>
      </c>
      <c r="R24" s="91"/>
    </row>
    <row r="25" spans="1:18" x14ac:dyDescent="0.45">
      <c r="A25" s="95"/>
      <c r="B25" s="91"/>
      <c r="C25" s="96"/>
      <c r="D25" s="89">
        <f t="shared" si="0"/>
        <v>0</v>
      </c>
      <c r="E25" s="89"/>
      <c r="F25" s="89">
        <f t="shared" si="1"/>
        <v>0</v>
      </c>
      <c r="G25" s="97"/>
      <c r="H25" s="97"/>
      <c r="I25" s="98"/>
      <c r="J25" s="98"/>
      <c r="K25" s="95"/>
      <c r="L25" s="99"/>
      <c r="M25" s="99"/>
      <c r="N25" s="100"/>
      <c r="O25" s="91"/>
      <c r="P25" s="91"/>
      <c r="Q25" s="88" t="str">
        <f t="shared" ca="1" si="2"/>
        <v>ON TRACK</v>
      </c>
      <c r="R25" s="91"/>
    </row>
    <row r="26" spans="1:18" x14ac:dyDescent="0.45">
      <c r="A26" s="95"/>
      <c r="B26" s="91"/>
      <c r="C26" s="96"/>
      <c r="D26" s="89">
        <f t="shared" si="0"/>
        <v>0</v>
      </c>
      <c r="E26" s="89"/>
      <c r="F26" s="89">
        <f t="shared" si="1"/>
        <v>0</v>
      </c>
      <c r="G26" s="97"/>
      <c r="H26" s="97"/>
      <c r="I26" s="98"/>
      <c r="J26" s="98"/>
      <c r="K26" s="95"/>
      <c r="L26" s="99"/>
      <c r="M26" s="99"/>
      <c r="N26" s="100"/>
      <c r="O26" s="91"/>
      <c r="P26" s="91"/>
      <c r="Q26" s="88" t="str">
        <f t="shared" ca="1" si="2"/>
        <v>ON TRACK</v>
      </c>
      <c r="R26" s="91"/>
    </row>
    <row r="27" spans="1:18" x14ac:dyDescent="0.45">
      <c r="A27" s="95"/>
      <c r="B27" s="91"/>
      <c r="C27" s="96"/>
      <c r="D27" s="96"/>
      <c r="E27" s="97"/>
      <c r="F27" s="98"/>
      <c r="G27" s="97"/>
      <c r="H27" s="97"/>
      <c r="I27" s="98"/>
      <c r="J27" s="98"/>
      <c r="K27" s="95"/>
      <c r="L27" s="99"/>
      <c r="M27" s="99"/>
      <c r="N27" s="100"/>
      <c r="O27" s="91"/>
      <c r="P27" s="91"/>
      <c r="Q27" s="88" t="str">
        <f t="shared" ca="1" si="2"/>
        <v>ON TRACK</v>
      </c>
      <c r="R27" s="91"/>
    </row>
    <row r="28" spans="1:18" x14ac:dyDescent="0.45">
      <c r="A28" s="95"/>
      <c r="B28" s="91"/>
      <c r="C28" s="96"/>
      <c r="D28" s="96"/>
      <c r="E28" s="97"/>
      <c r="F28" s="98"/>
      <c r="G28" s="97"/>
      <c r="H28" s="97"/>
      <c r="I28" s="98"/>
      <c r="J28" s="98"/>
      <c r="K28" s="95"/>
      <c r="L28" s="99"/>
      <c r="M28" s="99"/>
      <c r="N28" s="100"/>
      <c r="O28" s="91"/>
      <c r="P28" s="91"/>
      <c r="Q28" s="91"/>
      <c r="R28" s="91"/>
    </row>
    <row r="29" spans="1:18" x14ac:dyDescent="0.45">
      <c r="A29" s="95"/>
      <c r="B29" s="91"/>
      <c r="C29" s="96"/>
      <c r="D29" s="96"/>
      <c r="E29" s="97"/>
      <c r="F29" s="98"/>
      <c r="G29" s="97"/>
      <c r="H29" s="97"/>
      <c r="I29" s="98"/>
      <c r="J29" s="98"/>
      <c r="K29" s="95"/>
      <c r="L29" s="99"/>
      <c r="M29" s="99"/>
      <c r="N29" s="100"/>
      <c r="O29" s="91"/>
      <c r="P29" s="91"/>
      <c r="Q29" s="91"/>
      <c r="R29" s="91"/>
    </row>
    <row r="30" spans="1:18" x14ac:dyDescent="0.45">
      <c r="A30" s="95"/>
      <c r="B30" s="91"/>
      <c r="C30" s="96"/>
      <c r="D30" s="96"/>
      <c r="E30" s="97"/>
      <c r="F30" s="98"/>
      <c r="G30" s="97"/>
      <c r="H30" s="97"/>
      <c r="I30" s="98"/>
      <c r="J30" s="98"/>
      <c r="K30" s="95"/>
      <c r="L30" s="99"/>
      <c r="M30" s="99"/>
      <c r="N30" s="100"/>
      <c r="O30" s="91"/>
      <c r="P30" s="91"/>
      <c r="Q30" s="91"/>
      <c r="R30" s="91"/>
    </row>
    <row r="31" spans="1:18" x14ac:dyDescent="0.45">
      <c r="A31" s="95"/>
      <c r="B31" s="91"/>
      <c r="C31" s="96"/>
      <c r="D31" s="96"/>
      <c r="E31" s="97"/>
      <c r="F31" s="98"/>
      <c r="G31" s="97"/>
      <c r="H31" s="97"/>
      <c r="I31" s="98"/>
      <c r="J31" s="98"/>
      <c r="K31" s="95">
        <v>365</v>
      </c>
      <c r="L31" s="99">
        <v>2</v>
      </c>
      <c r="M31" s="99"/>
      <c r="N31" s="100"/>
      <c r="O31" s="91"/>
      <c r="P31" s="91"/>
      <c r="Q31" s="91"/>
      <c r="R31" s="91"/>
    </row>
    <row r="32" spans="1:18" x14ac:dyDescent="0.45">
      <c r="A32" s="95"/>
      <c r="B32" s="91"/>
      <c r="C32" s="96"/>
      <c r="D32" s="96"/>
      <c r="E32" s="97"/>
      <c r="F32" s="98"/>
      <c r="G32" s="97"/>
      <c r="H32" s="97"/>
      <c r="I32" s="98"/>
      <c r="J32" s="98"/>
      <c r="K32" s="95">
        <v>306</v>
      </c>
      <c r="L32" s="99">
        <f>K32*L31/K31</f>
        <v>1.6767123287671233</v>
      </c>
      <c r="M32" s="99"/>
      <c r="N32" s="100"/>
      <c r="O32" s="91"/>
      <c r="P32" s="91"/>
      <c r="Q32" s="91"/>
      <c r="R32" s="91"/>
    </row>
    <row r="33" spans="1:18" x14ac:dyDescent="0.45">
      <c r="A33" s="95"/>
      <c r="B33" s="91"/>
      <c r="C33" s="96"/>
      <c r="D33" s="96"/>
      <c r="E33" s="97"/>
      <c r="F33" s="98"/>
      <c r="G33" s="97"/>
      <c r="H33" s="97"/>
      <c r="I33" s="98"/>
      <c r="J33" s="98"/>
      <c r="K33" s="95"/>
      <c r="L33" s="99"/>
      <c r="M33" s="99"/>
      <c r="N33" s="100"/>
      <c r="O33" s="91"/>
      <c r="P33" s="91"/>
      <c r="Q33" s="91"/>
      <c r="R33" s="91"/>
    </row>
    <row r="34" spans="1:18" x14ac:dyDescent="0.45">
      <c r="A34" s="95"/>
      <c r="B34" s="91"/>
      <c r="C34" s="96"/>
      <c r="D34" s="96"/>
      <c r="E34" s="97"/>
      <c r="F34" s="98"/>
      <c r="G34" s="97"/>
      <c r="H34" s="97"/>
      <c r="I34" s="98"/>
      <c r="J34" s="98"/>
      <c r="K34" s="95"/>
      <c r="L34" s="99"/>
      <c r="M34" s="99"/>
      <c r="N34" s="100"/>
      <c r="O34" s="91"/>
      <c r="P34" s="91"/>
      <c r="Q34" s="91"/>
      <c r="R34" s="91"/>
    </row>
    <row r="35" spans="1:18" x14ac:dyDescent="0.45">
      <c r="A35" s="95"/>
      <c r="B35" s="91"/>
      <c r="C35" s="96"/>
      <c r="D35" s="96"/>
      <c r="E35" s="97"/>
      <c r="F35" s="98"/>
      <c r="G35" s="97"/>
      <c r="H35" s="97"/>
      <c r="I35" s="98"/>
      <c r="J35" s="98"/>
      <c r="K35" s="95"/>
      <c r="L35" s="99"/>
      <c r="M35" s="99"/>
      <c r="N35" s="100"/>
      <c r="O35" s="91"/>
      <c r="P35" s="91"/>
      <c r="Q35" s="91"/>
      <c r="R35" s="91"/>
    </row>
    <row r="36" spans="1:18" x14ac:dyDescent="0.45">
      <c r="A36" s="95"/>
      <c r="B36" s="91"/>
      <c r="C36" s="96"/>
      <c r="D36" s="96"/>
      <c r="E36" s="97"/>
      <c r="F36" s="98"/>
      <c r="G36" s="97"/>
      <c r="H36" s="97"/>
      <c r="I36" s="98"/>
      <c r="J36" s="98"/>
      <c r="K36" s="95"/>
      <c r="L36" s="99"/>
      <c r="M36" s="99"/>
      <c r="N36" s="100"/>
      <c r="O36" s="91"/>
      <c r="P36" s="91"/>
      <c r="Q36" s="91"/>
      <c r="R36" s="91"/>
    </row>
    <row r="37" spans="1:18" x14ac:dyDescent="0.45">
      <c r="A37" s="95"/>
      <c r="B37" s="91"/>
      <c r="C37" s="96"/>
      <c r="D37" s="96"/>
      <c r="E37" s="97"/>
      <c r="F37" s="98"/>
      <c r="G37" s="97"/>
      <c r="H37" s="97"/>
      <c r="I37" s="98"/>
      <c r="J37" s="98"/>
      <c r="K37" s="95"/>
      <c r="L37" s="99"/>
      <c r="M37" s="99"/>
      <c r="N37" s="100"/>
      <c r="O37" s="91"/>
      <c r="P37" s="91"/>
      <c r="Q37" s="91"/>
      <c r="R37" s="91"/>
    </row>
    <row r="38" spans="1:18" x14ac:dyDescent="0.45">
      <c r="A38" s="95"/>
      <c r="B38" s="91"/>
      <c r="C38" s="96"/>
      <c r="D38" s="96"/>
      <c r="E38" s="97"/>
      <c r="F38" s="98"/>
      <c r="G38" s="97"/>
      <c r="H38" s="97"/>
      <c r="I38" s="98"/>
      <c r="J38" s="98"/>
      <c r="K38" s="95"/>
      <c r="L38" s="99"/>
      <c r="M38" s="99"/>
      <c r="N38" s="100"/>
      <c r="O38" s="91"/>
      <c r="P38" s="91"/>
      <c r="Q38" s="91"/>
      <c r="R38" s="91"/>
    </row>
    <row r="39" spans="1:18" x14ac:dyDescent="0.45">
      <c r="A39" s="95"/>
      <c r="B39" s="91"/>
      <c r="C39" s="96"/>
      <c r="D39" s="96"/>
      <c r="E39" s="97"/>
      <c r="F39" s="98"/>
      <c r="G39" s="97"/>
      <c r="H39" s="97"/>
      <c r="I39" s="98"/>
      <c r="J39" s="98"/>
      <c r="K39" s="95"/>
      <c r="L39" s="99"/>
      <c r="M39" s="99"/>
      <c r="N39" s="100"/>
      <c r="O39" s="91"/>
      <c r="P39" s="91"/>
      <c r="Q39" s="91"/>
      <c r="R39" s="91"/>
    </row>
    <row r="40" spans="1:18" x14ac:dyDescent="0.45">
      <c r="A40" s="95"/>
      <c r="B40" s="91"/>
      <c r="C40" s="96"/>
      <c r="D40" s="96"/>
      <c r="E40" s="97"/>
      <c r="F40" s="98"/>
      <c r="G40" s="97"/>
      <c r="H40" s="97"/>
      <c r="I40" s="98"/>
      <c r="J40" s="98"/>
      <c r="K40" s="95"/>
      <c r="L40" s="99"/>
      <c r="M40" s="99"/>
      <c r="N40" s="100"/>
      <c r="O40" s="91"/>
      <c r="P40" s="91"/>
      <c r="Q40" s="91"/>
      <c r="R40" s="91"/>
    </row>
    <row r="41" spans="1:18" x14ac:dyDescent="0.45">
      <c r="A41" s="95"/>
      <c r="B41" s="91"/>
      <c r="C41" s="96"/>
      <c r="D41" s="96"/>
      <c r="E41" s="97"/>
      <c r="F41" s="98"/>
      <c r="G41" s="97"/>
      <c r="H41" s="97"/>
      <c r="I41" s="98"/>
      <c r="J41" s="98"/>
      <c r="K41" s="95"/>
      <c r="L41" s="99"/>
      <c r="M41" s="99"/>
      <c r="N41" s="100"/>
      <c r="O41" s="91"/>
      <c r="P41" s="91"/>
      <c r="Q41" s="91"/>
      <c r="R41" s="91"/>
    </row>
    <row r="42" spans="1:18" x14ac:dyDescent="0.45">
      <c r="A42" s="95"/>
      <c r="B42" s="91"/>
      <c r="C42" s="96"/>
      <c r="D42" s="96"/>
      <c r="E42" s="97"/>
      <c r="F42" s="98"/>
      <c r="G42" s="97"/>
      <c r="H42" s="97"/>
      <c r="I42" s="98"/>
      <c r="J42" s="98"/>
      <c r="K42" s="95"/>
      <c r="L42" s="99"/>
      <c r="M42" s="99"/>
      <c r="N42" s="100"/>
      <c r="O42" s="91"/>
      <c r="P42" s="91"/>
      <c r="Q42" s="91"/>
      <c r="R42" s="91"/>
    </row>
    <row r="43" spans="1:18" x14ac:dyDescent="0.45">
      <c r="A43" s="95"/>
      <c r="B43" s="91"/>
      <c r="C43" s="96"/>
      <c r="D43" s="96"/>
      <c r="E43" s="97"/>
      <c r="F43" s="98"/>
      <c r="G43" s="97"/>
      <c r="H43" s="97"/>
      <c r="I43" s="98"/>
      <c r="J43" s="98"/>
      <c r="K43" s="95"/>
      <c r="L43" s="99"/>
      <c r="M43" s="99"/>
      <c r="N43" s="100"/>
      <c r="O43" s="91"/>
      <c r="P43" s="91"/>
      <c r="Q43" s="91"/>
      <c r="R43" s="91"/>
    </row>
    <row r="44" spans="1:18" x14ac:dyDescent="0.45">
      <c r="A44" s="95"/>
      <c r="B44" s="91"/>
      <c r="C44" s="96"/>
      <c r="D44" s="96"/>
      <c r="E44" s="97"/>
      <c r="F44" s="98"/>
      <c r="G44" s="97"/>
      <c r="H44" s="97"/>
      <c r="I44" s="98"/>
      <c r="J44" s="98"/>
      <c r="K44" s="95"/>
      <c r="L44" s="99"/>
      <c r="M44" s="99"/>
      <c r="N44" s="100"/>
      <c r="O44" s="91"/>
      <c r="P44" s="91"/>
      <c r="Q44" s="91"/>
      <c r="R44" s="91"/>
    </row>
    <row r="45" spans="1:18" x14ac:dyDescent="0.45">
      <c r="A45" s="95"/>
      <c r="B45" s="91"/>
      <c r="C45" s="96"/>
      <c r="D45" s="96"/>
      <c r="E45" s="97"/>
      <c r="F45" s="98"/>
      <c r="G45" s="97"/>
      <c r="H45" s="97"/>
      <c r="I45" s="98"/>
      <c r="J45" s="98"/>
      <c r="K45" s="95"/>
      <c r="L45" s="99"/>
      <c r="M45" s="99"/>
      <c r="N45" s="100"/>
      <c r="O45" s="91"/>
      <c r="P45" s="91"/>
      <c r="Q45" s="91"/>
      <c r="R45" s="91"/>
    </row>
    <row r="46" spans="1:18" x14ac:dyDescent="0.45">
      <c r="A46" s="95"/>
      <c r="B46" s="91"/>
      <c r="C46" s="96"/>
      <c r="D46" s="96"/>
      <c r="E46" s="97"/>
      <c r="F46" s="98"/>
      <c r="G46" s="97"/>
      <c r="H46" s="97"/>
      <c r="I46" s="98"/>
      <c r="J46" s="98"/>
      <c r="K46" s="95"/>
      <c r="L46" s="99"/>
      <c r="M46" s="99"/>
      <c r="N46" s="100"/>
      <c r="O46" s="91"/>
      <c r="P46" s="91"/>
      <c r="Q46" s="91"/>
      <c r="R46" s="91"/>
    </row>
    <row r="47" spans="1:18" x14ac:dyDescent="0.45">
      <c r="A47" s="95"/>
      <c r="B47" s="91"/>
      <c r="C47" s="96"/>
      <c r="D47" s="96"/>
      <c r="E47" s="97"/>
      <c r="F47" s="98"/>
      <c r="G47" s="97"/>
      <c r="H47" s="97"/>
      <c r="I47" s="98"/>
      <c r="J47" s="98"/>
      <c r="K47" s="95"/>
      <c r="L47" s="99"/>
      <c r="M47" s="99"/>
      <c r="N47" s="100"/>
      <c r="O47" s="91"/>
      <c r="P47" s="91"/>
      <c r="Q47" s="91"/>
      <c r="R47" s="91"/>
    </row>
    <row r="48" spans="1:18" x14ac:dyDescent="0.45">
      <c r="A48" s="95"/>
      <c r="B48" s="91"/>
      <c r="C48" s="96"/>
      <c r="D48" s="96"/>
      <c r="E48" s="97"/>
      <c r="F48" s="98"/>
      <c r="G48" s="97"/>
      <c r="H48" s="97"/>
      <c r="I48" s="98"/>
      <c r="J48" s="98"/>
      <c r="K48" s="95"/>
      <c r="L48" s="99"/>
      <c r="M48" s="99"/>
      <c r="N48" s="100"/>
      <c r="O48" s="91"/>
      <c r="P48" s="91"/>
      <c r="Q48" s="91"/>
      <c r="R48" s="91"/>
    </row>
    <row r="49" spans="1:18" x14ac:dyDescent="0.45">
      <c r="A49" s="95"/>
      <c r="B49" s="91"/>
      <c r="C49" s="96"/>
      <c r="D49" s="96"/>
      <c r="E49" s="97"/>
      <c r="F49" s="98"/>
      <c r="G49" s="97"/>
      <c r="H49" s="97"/>
      <c r="I49" s="98"/>
      <c r="J49" s="98"/>
      <c r="K49" s="95"/>
      <c r="L49" s="99"/>
      <c r="M49" s="99"/>
      <c r="N49" s="100"/>
      <c r="O49" s="91"/>
      <c r="P49" s="91"/>
      <c r="Q49" s="91"/>
      <c r="R49" s="91"/>
    </row>
    <row r="50" spans="1:18" x14ac:dyDescent="0.45">
      <c r="A50" s="95"/>
      <c r="B50" s="91"/>
      <c r="C50" s="96"/>
      <c r="D50" s="96"/>
      <c r="E50" s="97"/>
      <c r="F50" s="98"/>
      <c r="G50" s="97"/>
      <c r="H50" s="97"/>
      <c r="I50" s="98"/>
      <c r="J50" s="98"/>
      <c r="K50" s="95"/>
      <c r="L50" s="99"/>
      <c r="M50" s="99"/>
      <c r="N50" s="100"/>
      <c r="O50" s="91"/>
      <c r="P50" s="91"/>
      <c r="Q50" s="91"/>
      <c r="R50" s="91"/>
    </row>
    <row r="51" spans="1:18" x14ac:dyDescent="0.45">
      <c r="A51" s="95"/>
      <c r="B51" s="91"/>
      <c r="C51" s="96"/>
      <c r="D51" s="96"/>
      <c r="E51" s="97"/>
      <c r="F51" s="98"/>
      <c r="G51" s="97"/>
      <c r="H51" s="97"/>
      <c r="I51" s="98"/>
      <c r="J51" s="98"/>
      <c r="K51" s="95"/>
      <c r="L51" s="99"/>
      <c r="M51" s="99"/>
      <c r="N51" s="100"/>
      <c r="O51" s="91"/>
      <c r="P51" s="91"/>
      <c r="Q51" s="91"/>
      <c r="R51" s="91"/>
    </row>
    <row r="52" spans="1:18" x14ac:dyDescent="0.45">
      <c r="A52" s="95"/>
      <c r="B52" s="91"/>
      <c r="C52" s="96"/>
      <c r="D52" s="96"/>
      <c r="E52" s="97"/>
      <c r="F52" s="98"/>
      <c r="G52" s="97"/>
      <c r="H52" s="97"/>
      <c r="I52" s="98"/>
      <c r="J52" s="98"/>
      <c r="K52" s="95"/>
      <c r="L52" s="99"/>
      <c r="M52" s="99"/>
      <c r="N52" s="100"/>
      <c r="O52" s="91"/>
      <c r="P52" s="91"/>
      <c r="Q52" s="91"/>
      <c r="R52" s="91"/>
    </row>
    <row r="53" spans="1:18" x14ac:dyDescent="0.45">
      <c r="A53" s="95"/>
      <c r="B53" s="91"/>
      <c r="C53" s="96"/>
      <c r="D53" s="96"/>
      <c r="E53" s="97"/>
      <c r="F53" s="98"/>
      <c r="G53" s="97"/>
      <c r="H53" s="97"/>
      <c r="I53" s="98"/>
      <c r="J53" s="98"/>
      <c r="K53" s="95"/>
      <c r="L53" s="99"/>
      <c r="M53" s="99"/>
      <c r="N53" s="100"/>
      <c r="O53" s="91"/>
      <c r="P53" s="91"/>
      <c r="Q53" s="91"/>
      <c r="R53" s="91"/>
    </row>
    <row r="54" spans="1:18" x14ac:dyDescent="0.45">
      <c r="A54" s="95"/>
      <c r="B54" s="91"/>
      <c r="C54" s="96"/>
      <c r="D54" s="96"/>
      <c r="E54" s="97"/>
      <c r="F54" s="98"/>
      <c r="G54" s="97"/>
      <c r="H54" s="97"/>
      <c r="I54" s="98"/>
      <c r="J54" s="98"/>
      <c r="K54" s="95"/>
      <c r="L54" s="99"/>
      <c r="M54" s="99"/>
      <c r="N54" s="100"/>
      <c r="O54" s="91"/>
      <c r="P54" s="91"/>
      <c r="Q54" s="91"/>
      <c r="R54" s="91"/>
    </row>
    <row r="55" spans="1:18" x14ac:dyDescent="0.45">
      <c r="A55" s="95"/>
      <c r="B55" s="91"/>
      <c r="C55" s="96"/>
      <c r="D55" s="96"/>
      <c r="E55" s="97"/>
      <c r="F55" s="98"/>
      <c r="G55" s="97"/>
      <c r="H55" s="97"/>
      <c r="I55" s="98"/>
      <c r="J55" s="98"/>
      <c r="K55" s="95"/>
      <c r="L55" s="99"/>
      <c r="M55" s="99"/>
      <c r="N55" s="100"/>
      <c r="O55" s="91"/>
      <c r="P55" s="91"/>
      <c r="Q55" s="91"/>
      <c r="R55" s="91"/>
    </row>
    <row r="56" spans="1:18" x14ac:dyDescent="0.45">
      <c r="A56" s="95"/>
      <c r="B56" s="91"/>
      <c r="C56" s="96"/>
      <c r="D56" s="96"/>
      <c r="E56" s="97"/>
      <c r="F56" s="98"/>
      <c r="G56" s="97"/>
      <c r="H56" s="97"/>
      <c r="I56" s="98"/>
      <c r="J56" s="98"/>
      <c r="K56" s="95"/>
      <c r="L56" s="99"/>
      <c r="M56" s="99"/>
      <c r="N56" s="100"/>
      <c r="O56" s="91"/>
      <c r="P56" s="91"/>
      <c r="Q56" s="91"/>
      <c r="R56" s="91"/>
    </row>
    <row r="57" spans="1:18" x14ac:dyDescent="0.45">
      <c r="A57" s="95"/>
      <c r="B57" s="91"/>
      <c r="C57" s="96"/>
      <c r="D57" s="96"/>
      <c r="E57" s="97"/>
      <c r="F57" s="98"/>
      <c r="G57" s="97"/>
      <c r="H57" s="97"/>
      <c r="I57" s="98"/>
      <c r="J57" s="98"/>
      <c r="K57" s="95"/>
      <c r="L57" s="99"/>
      <c r="M57" s="99"/>
      <c r="N57" s="100"/>
      <c r="O57" s="91"/>
      <c r="P57" s="91"/>
      <c r="Q57" s="91"/>
      <c r="R57" s="91"/>
    </row>
    <row r="58" spans="1:18" x14ac:dyDescent="0.45">
      <c r="A58" s="95"/>
      <c r="B58" s="91"/>
      <c r="C58" s="96"/>
      <c r="D58" s="96"/>
      <c r="E58" s="97"/>
      <c r="F58" s="98"/>
      <c r="G58" s="97"/>
      <c r="H58" s="97"/>
      <c r="I58" s="98"/>
      <c r="J58" s="98"/>
      <c r="K58" s="95"/>
      <c r="L58" s="99"/>
      <c r="M58" s="99"/>
      <c r="N58" s="100"/>
      <c r="O58" s="91"/>
      <c r="P58" s="91"/>
      <c r="Q58" s="91"/>
      <c r="R58" s="91"/>
    </row>
    <row r="59" spans="1:18" x14ac:dyDescent="0.45">
      <c r="A59" s="95"/>
      <c r="B59" s="91"/>
      <c r="C59" s="96"/>
      <c r="D59" s="96"/>
      <c r="E59" s="97"/>
      <c r="F59" s="98"/>
      <c r="G59" s="97"/>
      <c r="H59" s="97"/>
      <c r="I59" s="98"/>
      <c r="J59" s="98"/>
      <c r="K59" s="95"/>
      <c r="L59" s="99"/>
      <c r="M59" s="99"/>
      <c r="N59" s="100"/>
      <c r="O59" s="91"/>
      <c r="P59" s="91"/>
      <c r="Q59" s="91"/>
      <c r="R59" s="91"/>
    </row>
    <row r="60" spans="1:18" x14ac:dyDescent="0.45">
      <c r="A60" s="95"/>
      <c r="B60" s="91"/>
      <c r="C60" s="96"/>
      <c r="D60" s="96"/>
      <c r="E60" s="97"/>
      <c r="F60" s="98"/>
      <c r="G60" s="97"/>
      <c r="H60" s="97"/>
      <c r="I60" s="98"/>
      <c r="J60" s="98"/>
      <c r="K60" s="95"/>
      <c r="L60" s="99"/>
      <c r="M60" s="99"/>
      <c r="N60" s="100"/>
      <c r="O60" s="91"/>
      <c r="P60" s="91"/>
      <c r="Q60" s="91"/>
      <c r="R60" s="91"/>
    </row>
    <row r="61" spans="1:18" x14ac:dyDescent="0.45">
      <c r="A61" s="95"/>
      <c r="B61" s="91"/>
      <c r="C61" s="96"/>
      <c r="D61" s="96"/>
      <c r="E61" s="97"/>
      <c r="F61" s="98"/>
      <c r="G61" s="97"/>
      <c r="H61" s="97"/>
      <c r="I61" s="98"/>
      <c r="J61" s="98"/>
      <c r="K61" s="95"/>
      <c r="L61" s="99"/>
      <c r="M61" s="99"/>
      <c r="N61" s="100"/>
      <c r="O61" s="91"/>
      <c r="P61" s="91"/>
      <c r="Q61" s="91"/>
      <c r="R61" s="91"/>
    </row>
    <row r="62" spans="1:18" x14ac:dyDescent="0.45">
      <c r="A62" s="95"/>
      <c r="B62" s="91"/>
      <c r="C62" s="96"/>
      <c r="D62" s="96"/>
      <c r="E62" s="97"/>
      <c r="F62" s="98"/>
      <c r="G62" s="97"/>
      <c r="H62" s="97"/>
      <c r="I62" s="98"/>
      <c r="J62" s="98"/>
      <c r="K62" s="95"/>
      <c r="L62" s="99"/>
      <c r="M62" s="99"/>
      <c r="N62" s="100"/>
      <c r="O62" s="91"/>
      <c r="P62" s="91"/>
      <c r="Q62" s="91"/>
      <c r="R62" s="91"/>
    </row>
    <row r="63" spans="1:18" x14ac:dyDescent="0.45">
      <c r="A63" s="95"/>
      <c r="B63" s="91"/>
      <c r="C63" s="96"/>
      <c r="D63" s="96"/>
      <c r="E63" s="97"/>
      <c r="F63" s="98"/>
      <c r="G63" s="97"/>
      <c r="H63" s="97"/>
      <c r="I63" s="98"/>
      <c r="J63" s="98"/>
      <c r="K63" s="95"/>
      <c r="L63" s="99"/>
      <c r="M63" s="99"/>
      <c r="N63" s="100"/>
      <c r="O63" s="91"/>
      <c r="P63" s="91"/>
      <c r="Q63" s="91"/>
      <c r="R63" s="91"/>
    </row>
    <row r="64" spans="1:18" x14ac:dyDescent="0.45">
      <c r="A64" s="95"/>
      <c r="B64" s="91"/>
      <c r="C64" s="96"/>
      <c r="D64" s="96"/>
      <c r="E64" s="97"/>
      <c r="F64" s="98"/>
      <c r="G64" s="97"/>
      <c r="H64" s="97"/>
      <c r="I64" s="98"/>
      <c r="J64" s="98"/>
      <c r="K64" s="95"/>
      <c r="L64" s="99"/>
      <c r="M64" s="99"/>
      <c r="N64" s="100"/>
      <c r="O64" s="91"/>
      <c r="P64" s="91"/>
      <c r="Q64" s="91"/>
      <c r="R64" s="91"/>
    </row>
    <row r="65" spans="1:18" x14ac:dyDescent="0.45">
      <c r="A65" s="95"/>
      <c r="B65" s="91"/>
      <c r="C65" s="96"/>
      <c r="D65" s="96"/>
      <c r="E65" s="97"/>
      <c r="F65" s="98"/>
      <c r="G65" s="97"/>
      <c r="H65" s="97"/>
      <c r="I65" s="98"/>
      <c r="J65" s="98"/>
      <c r="K65" s="95"/>
      <c r="L65" s="99"/>
      <c r="M65" s="99"/>
      <c r="N65" s="100"/>
      <c r="O65" s="91"/>
      <c r="P65" s="91"/>
      <c r="Q65" s="91"/>
      <c r="R65" s="91"/>
    </row>
    <row r="66" spans="1:18" x14ac:dyDescent="0.45">
      <c r="A66" s="95"/>
      <c r="B66" s="91"/>
      <c r="C66" s="96"/>
      <c r="D66" s="96"/>
      <c r="E66" s="97"/>
      <c r="F66" s="98"/>
      <c r="G66" s="97"/>
      <c r="H66" s="97"/>
      <c r="I66" s="98"/>
      <c r="J66" s="98"/>
      <c r="K66" s="95"/>
      <c r="L66" s="99"/>
      <c r="M66" s="99"/>
      <c r="N66" s="100"/>
      <c r="O66" s="91"/>
      <c r="P66" s="91"/>
      <c r="Q66" s="91"/>
      <c r="R66" s="91"/>
    </row>
    <row r="67" spans="1:18" x14ac:dyDescent="0.45">
      <c r="A67" s="95"/>
      <c r="B67" s="91"/>
      <c r="C67" s="96"/>
      <c r="D67" s="96"/>
      <c r="E67" s="97"/>
      <c r="F67" s="98"/>
      <c r="G67" s="97"/>
      <c r="H67" s="97"/>
      <c r="I67" s="98"/>
      <c r="J67" s="98"/>
      <c r="K67" s="95"/>
      <c r="L67" s="99"/>
      <c r="M67" s="99"/>
      <c r="N67" s="100"/>
      <c r="O67" s="91"/>
      <c r="P67" s="91"/>
      <c r="Q67" s="91"/>
      <c r="R67" s="91"/>
    </row>
    <row r="68" spans="1:18" x14ac:dyDescent="0.45">
      <c r="A68" s="95"/>
      <c r="B68" s="91"/>
      <c r="C68" s="96"/>
      <c r="D68" s="96"/>
      <c r="E68" s="97"/>
      <c r="F68" s="98"/>
      <c r="G68" s="97"/>
      <c r="H68" s="97"/>
      <c r="I68" s="98"/>
      <c r="J68" s="98"/>
      <c r="K68" s="95"/>
      <c r="L68" s="99"/>
      <c r="M68" s="99"/>
      <c r="N68" s="100"/>
      <c r="O68" s="91"/>
      <c r="P68" s="91"/>
      <c r="Q68" s="91"/>
      <c r="R68" s="91"/>
    </row>
    <row r="69" spans="1:18" x14ac:dyDescent="0.45">
      <c r="A69" s="95"/>
      <c r="B69" s="91"/>
      <c r="C69" s="96"/>
      <c r="D69" s="96"/>
      <c r="E69" s="97"/>
      <c r="F69" s="98"/>
      <c r="G69" s="97"/>
      <c r="H69" s="97"/>
      <c r="I69" s="98"/>
      <c r="J69" s="98"/>
      <c r="K69" s="95"/>
      <c r="L69" s="99"/>
      <c r="M69" s="99"/>
      <c r="N69" s="100"/>
      <c r="O69" s="91"/>
      <c r="P69" s="91"/>
      <c r="Q69" s="91"/>
      <c r="R69" s="91"/>
    </row>
    <row r="70" spans="1:18" x14ac:dyDescent="0.45">
      <c r="A70" s="95"/>
      <c r="B70" s="91"/>
      <c r="C70" s="96"/>
      <c r="D70" s="96"/>
      <c r="E70" s="97"/>
      <c r="F70" s="98"/>
      <c r="G70" s="97"/>
      <c r="H70" s="97"/>
      <c r="I70" s="98"/>
      <c r="J70" s="98"/>
      <c r="K70" s="95"/>
      <c r="L70" s="99"/>
      <c r="M70" s="99"/>
      <c r="N70" s="100"/>
      <c r="O70" s="91"/>
      <c r="P70" s="91"/>
      <c r="Q70" s="91"/>
      <c r="R70" s="91"/>
    </row>
    <row r="71" spans="1:18" x14ac:dyDescent="0.45">
      <c r="A71" s="95"/>
      <c r="B71" s="91"/>
      <c r="C71" s="96"/>
      <c r="D71" s="96"/>
      <c r="E71" s="97"/>
      <c r="F71" s="98"/>
      <c r="G71" s="97"/>
      <c r="H71" s="97"/>
      <c r="I71" s="98"/>
      <c r="J71" s="98"/>
      <c r="K71" s="95"/>
      <c r="L71" s="99"/>
      <c r="M71" s="99"/>
      <c r="N71" s="100"/>
      <c r="O71" s="91"/>
      <c r="P71" s="91"/>
      <c r="Q71" s="91"/>
      <c r="R71" s="91"/>
    </row>
    <row r="72" spans="1:18" x14ac:dyDescent="0.45">
      <c r="A72" s="95"/>
      <c r="B72" s="91"/>
      <c r="C72" s="96"/>
      <c r="D72" s="96"/>
      <c r="E72" s="97"/>
      <c r="F72" s="98"/>
      <c r="G72" s="97"/>
      <c r="H72" s="97"/>
      <c r="I72" s="98"/>
      <c r="J72" s="98"/>
      <c r="K72" s="95"/>
      <c r="L72" s="99"/>
      <c r="M72" s="99"/>
      <c r="N72" s="100"/>
      <c r="O72" s="91"/>
      <c r="P72" s="91"/>
      <c r="Q72" s="91"/>
      <c r="R72" s="91"/>
    </row>
    <row r="73" spans="1:18" x14ac:dyDescent="0.45">
      <c r="A73" s="95"/>
      <c r="B73" s="91"/>
      <c r="C73" s="96"/>
      <c r="D73" s="96"/>
      <c r="E73" s="97"/>
      <c r="F73" s="98"/>
      <c r="G73" s="97"/>
      <c r="H73" s="97"/>
      <c r="I73" s="98"/>
      <c r="J73" s="98"/>
      <c r="K73" s="95"/>
      <c r="L73" s="99"/>
      <c r="M73" s="99"/>
      <c r="N73" s="100"/>
      <c r="O73" s="91"/>
      <c r="P73" s="91"/>
      <c r="Q73" s="91"/>
      <c r="R73" s="91"/>
    </row>
    <row r="74" spans="1:18" x14ac:dyDescent="0.45">
      <c r="A74" s="95"/>
      <c r="B74" s="91"/>
      <c r="C74" s="96"/>
      <c r="D74" s="96"/>
      <c r="E74" s="97"/>
      <c r="F74" s="98"/>
      <c r="G74" s="97"/>
      <c r="H74" s="97"/>
      <c r="I74" s="98"/>
      <c r="J74" s="98"/>
      <c r="K74" s="95"/>
      <c r="L74" s="99"/>
      <c r="M74" s="99"/>
      <c r="N74" s="100"/>
      <c r="O74" s="91"/>
      <c r="P74" s="91"/>
      <c r="Q74" s="91"/>
      <c r="R74" s="91"/>
    </row>
    <row r="75" spans="1:18" x14ac:dyDescent="0.45">
      <c r="A75" s="95"/>
      <c r="B75" s="91"/>
      <c r="C75" s="96"/>
      <c r="D75" s="96"/>
      <c r="E75" s="97"/>
      <c r="F75" s="98"/>
      <c r="G75" s="97"/>
      <c r="H75" s="97"/>
      <c r="I75" s="98"/>
      <c r="J75" s="98"/>
      <c r="K75" s="95"/>
      <c r="L75" s="99"/>
      <c r="M75" s="99"/>
      <c r="N75" s="100"/>
      <c r="O75" s="91"/>
      <c r="P75" s="91"/>
      <c r="Q75" s="91"/>
      <c r="R75" s="91"/>
    </row>
    <row r="76" spans="1:18" x14ac:dyDescent="0.45">
      <c r="A76" s="95"/>
      <c r="B76" s="91"/>
      <c r="C76" s="96"/>
      <c r="D76" s="96"/>
      <c r="E76" s="97"/>
      <c r="F76" s="98"/>
      <c r="G76" s="97"/>
      <c r="H76" s="97"/>
      <c r="I76" s="98"/>
      <c r="J76" s="98"/>
      <c r="K76" s="95"/>
      <c r="L76" s="99"/>
      <c r="M76" s="99"/>
      <c r="N76" s="100"/>
      <c r="O76" s="91"/>
      <c r="P76" s="91"/>
      <c r="Q76" s="91"/>
      <c r="R76" s="91"/>
    </row>
    <row r="77" spans="1:18" x14ac:dyDescent="0.45">
      <c r="A77" s="95"/>
      <c r="B77" s="91"/>
      <c r="C77" s="96"/>
      <c r="D77" s="96"/>
      <c r="E77" s="97"/>
      <c r="F77" s="98"/>
      <c r="G77" s="97"/>
      <c r="H77" s="97"/>
      <c r="I77" s="98"/>
      <c r="J77" s="98"/>
      <c r="K77" s="95"/>
      <c r="L77" s="99"/>
      <c r="M77" s="99"/>
      <c r="N77" s="100"/>
      <c r="O77" s="91"/>
      <c r="P77" s="91"/>
      <c r="Q77" s="91"/>
      <c r="R77" s="91"/>
    </row>
    <row r="78" spans="1:18" x14ac:dyDescent="0.45">
      <c r="A78" s="95"/>
      <c r="B78" s="91"/>
      <c r="C78" s="96"/>
      <c r="D78" s="96"/>
      <c r="E78" s="97"/>
      <c r="F78" s="98"/>
      <c r="G78" s="97"/>
      <c r="H78" s="97"/>
      <c r="I78" s="98"/>
      <c r="J78" s="98"/>
      <c r="K78" s="95"/>
      <c r="L78" s="99"/>
      <c r="M78" s="99"/>
      <c r="N78" s="100"/>
      <c r="O78" s="91"/>
      <c r="P78" s="91"/>
      <c r="Q78" s="91"/>
      <c r="R78" s="91"/>
    </row>
    <row r="79" spans="1:18" x14ac:dyDescent="0.45">
      <c r="A79" s="95"/>
      <c r="B79" s="91"/>
      <c r="C79" s="96"/>
      <c r="D79" s="96"/>
      <c r="E79" s="97"/>
      <c r="F79" s="98"/>
      <c r="G79" s="97"/>
      <c r="H79" s="97"/>
      <c r="I79" s="98"/>
      <c r="J79" s="98"/>
      <c r="K79" s="95"/>
      <c r="L79" s="99"/>
      <c r="M79" s="99"/>
      <c r="N79" s="100"/>
      <c r="O79" s="91"/>
      <c r="P79" s="91"/>
      <c r="Q79" s="91"/>
      <c r="R79" s="91"/>
    </row>
    <row r="80" spans="1:18" x14ac:dyDescent="0.45">
      <c r="A80" s="95"/>
      <c r="B80" s="91"/>
      <c r="C80" s="96"/>
      <c r="D80" s="96"/>
      <c r="E80" s="97"/>
      <c r="F80" s="98"/>
      <c r="G80" s="97"/>
      <c r="H80" s="97"/>
      <c r="I80" s="98"/>
      <c r="J80" s="98"/>
      <c r="K80" s="95"/>
      <c r="L80" s="99"/>
      <c r="M80" s="99"/>
      <c r="N80" s="100"/>
      <c r="O80" s="91"/>
      <c r="P80" s="91"/>
      <c r="Q80" s="91"/>
      <c r="R80" s="91"/>
    </row>
    <row r="81" spans="1:18" x14ac:dyDescent="0.45">
      <c r="A81" s="95"/>
      <c r="B81" s="91"/>
      <c r="C81" s="96"/>
      <c r="D81" s="96"/>
      <c r="E81" s="97"/>
      <c r="F81" s="98"/>
      <c r="G81" s="97"/>
      <c r="H81" s="97"/>
      <c r="I81" s="98"/>
      <c r="J81" s="98"/>
      <c r="K81" s="95"/>
      <c r="L81" s="99"/>
      <c r="M81" s="99"/>
      <c r="N81" s="100"/>
      <c r="O81" s="91"/>
      <c r="P81" s="91"/>
      <c r="Q81" s="91"/>
      <c r="R81" s="91"/>
    </row>
    <row r="82" spans="1:18" x14ac:dyDescent="0.45">
      <c r="A82" s="95"/>
      <c r="B82" s="91"/>
      <c r="C82" s="96"/>
      <c r="D82" s="96"/>
      <c r="E82" s="97"/>
      <c r="F82" s="98"/>
      <c r="G82" s="97"/>
      <c r="H82" s="97"/>
      <c r="I82" s="98"/>
      <c r="J82" s="98"/>
      <c r="K82" s="95"/>
      <c r="L82" s="99"/>
      <c r="M82" s="99"/>
      <c r="N82" s="100"/>
      <c r="O82" s="91"/>
      <c r="P82" s="91"/>
      <c r="Q82" s="91"/>
      <c r="R82" s="91"/>
    </row>
    <row r="83" spans="1:18" x14ac:dyDescent="0.45">
      <c r="A83" s="95"/>
      <c r="B83" s="91"/>
      <c r="C83" s="96"/>
      <c r="D83" s="96"/>
      <c r="E83" s="97"/>
      <c r="F83" s="98"/>
      <c r="G83" s="97"/>
      <c r="H83" s="97"/>
      <c r="I83" s="98"/>
      <c r="J83" s="98"/>
      <c r="K83" s="95"/>
      <c r="L83" s="99"/>
      <c r="M83" s="99"/>
      <c r="N83" s="100"/>
      <c r="O83" s="91"/>
      <c r="P83" s="91"/>
      <c r="Q83" s="91"/>
      <c r="R83" s="91"/>
    </row>
    <row r="84" spans="1:18" x14ac:dyDescent="0.45">
      <c r="A84" s="95"/>
      <c r="B84" s="91"/>
      <c r="C84" s="96"/>
      <c r="D84" s="96"/>
      <c r="E84" s="97"/>
      <c r="F84" s="98"/>
      <c r="G84" s="97"/>
      <c r="H84" s="97"/>
      <c r="I84" s="98"/>
      <c r="J84" s="98"/>
      <c r="K84" s="95"/>
      <c r="L84" s="99"/>
      <c r="M84" s="99"/>
      <c r="N84" s="100"/>
      <c r="O84" s="91"/>
      <c r="P84" s="91"/>
      <c r="Q84" s="91"/>
      <c r="R84" s="91"/>
    </row>
    <row r="85" spans="1:18" x14ac:dyDescent="0.45">
      <c r="A85" s="95"/>
      <c r="B85" s="91"/>
      <c r="C85" s="96"/>
      <c r="D85" s="96"/>
      <c r="E85" s="97"/>
      <c r="F85" s="98"/>
      <c r="G85" s="97"/>
      <c r="H85" s="97"/>
      <c r="I85" s="98"/>
      <c r="J85" s="98"/>
      <c r="K85" s="95"/>
      <c r="L85" s="99"/>
      <c r="M85" s="99"/>
      <c r="N85" s="100"/>
      <c r="O85" s="91"/>
      <c r="P85" s="91"/>
      <c r="Q85" s="91"/>
      <c r="R85" s="91"/>
    </row>
    <row r="86" spans="1:18" x14ac:dyDescent="0.45">
      <c r="A86" s="95"/>
      <c r="B86" s="91"/>
      <c r="C86" s="96"/>
      <c r="D86" s="96"/>
      <c r="E86" s="97"/>
      <c r="F86" s="98"/>
      <c r="G86" s="97"/>
      <c r="H86" s="97"/>
      <c r="I86" s="98"/>
      <c r="J86" s="98"/>
      <c r="K86" s="95"/>
      <c r="L86" s="99"/>
      <c r="M86" s="99"/>
      <c r="N86" s="100"/>
      <c r="O86" s="91"/>
      <c r="P86" s="91"/>
      <c r="Q86" s="91"/>
      <c r="R86" s="91"/>
    </row>
    <row r="87" spans="1:18" x14ac:dyDescent="0.45">
      <c r="A87" s="95"/>
      <c r="B87" s="91"/>
      <c r="C87" s="96"/>
      <c r="D87" s="96"/>
      <c r="E87" s="97"/>
      <c r="F87" s="98"/>
      <c r="G87" s="97"/>
      <c r="H87" s="97"/>
      <c r="I87" s="98"/>
      <c r="J87" s="98"/>
      <c r="K87" s="95"/>
      <c r="L87" s="99"/>
      <c r="M87" s="99"/>
      <c r="N87" s="100"/>
      <c r="O87" s="91"/>
      <c r="P87" s="91"/>
      <c r="Q87" s="91"/>
      <c r="R87" s="91"/>
    </row>
    <row r="88" spans="1:18" x14ac:dyDescent="0.45">
      <c r="A88" s="95"/>
      <c r="B88" s="91"/>
      <c r="C88" s="96"/>
      <c r="D88" s="96"/>
      <c r="E88" s="97"/>
      <c r="F88" s="98"/>
      <c r="G88" s="97"/>
      <c r="H88" s="97"/>
      <c r="I88" s="98"/>
      <c r="J88" s="98"/>
      <c r="K88" s="95"/>
      <c r="L88" s="99"/>
      <c r="M88" s="99"/>
      <c r="N88" s="100"/>
      <c r="O88" s="91"/>
      <c r="P88" s="91"/>
      <c r="Q88" s="91"/>
      <c r="R88" s="91"/>
    </row>
    <row r="89" spans="1:18" x14ac:dyDescent="0.45">
      <c r="A89" s="95"/>
      <c r="B89" s="91"/>
      <c r="C89" s="96"/>
      <c r="D89" s="96"/>
      <c r="E89" s="97"/>
      <c r="F89" s="98"/>
      <c r="G89" s="97"/>
      <c r="H89" s="97"/>
      <c r="I89" s="98"/>
      <c r="J89" s="98"/>
      <c r="K89" s="95"/>
      <c r="L89" s="99"/>
      <c r="M89" s="99"/>
      <c r="N89" s="100"/>
      <c r="O89" s="91"/>
      <c r="P89" s="91"/>
      <c r="Q89" s="91"/>
      <c r="R89" s="91"/>
    </row>
  </sheetData>
  <autoFilter ref="A1:AA15" xr:uid="{26B89A38-9DDB-434F-88BF-AC763C1A6D65}"/>
  <mergeCells count="3">
    <mergeCell ref="A17:B17"/>
    <mergeCell ref="A18:B18"/>
    <mergeCell ref="A22:B22"/>
  </mergeCells>
  <conditionalFormatting sqref="P3:P23">
    <cfRule type="containsText" dxfId="56" priority="9" operator="containsText" text="SIN FECHA">
      <formula>NOT(ISERROR(SEARCH("SIN FECHA",P3)))</formula>
    </cfRule>
  </conditionalFormatting>
  <conditionalFormatting sqref="Q1:Q1048576">
    <cfRule type="cellIs" dxfId="55" priority="6" operator="equal">
      <formula>"PAGADO"</formula>
    </cfRule>
    <cfRule type="cellIs" dxfId="54" priority="7" operator="equal">
      <formula>"ON TRACK"</formula>
    </cfRule>
  </conditionalFormatting>
  <conditionalFormatting sqref="R1:R1048576">
    <cfRule type="cellIs" dxfId="53" priority="3" operator="equal">
      <formula>"cancelada"</formula>
    </cfRule>
    <cfRule type="cellIs" dxfId="52" priority="4" operator="equal">
      <formula>"REVISIÓN"</formula>
    </cfRule>
    <cfRule type="notContainsBlanks" dxfId="51" priority="5">
      <formula>LEN(TRIM(R1))&gt;0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5168-A268-4BC5-8150-36D6DA1E75D6}">
  <dimension ref="A1:P58"/>
  <sheetViews>
    <sheetView topLeftCell="C9" workbookViewId="0">
      <selection activeCell="C16" sqref="C16"/>
    </sheetView>
  </sheetViews>
  <sheetFormatPr baseColWidth="10" defaultColWidth="10.59765625" defaultRowHeight="14.25" outlineLevelCol="1" x14ac:dyDescent="0.45"/>
  <cols>
    <col min="1" max="2" width="10.59765625" hidden="1" customWidth="1" outlineLevel="1"/>
    <col min="3" max="3" width="13.19921875" bestFit="1" customWidth="1" collapsed="1"/>
    <col min="4" max="4" width="12.59765625" customWidth="1"/>
    <col min="5" max="6" width="13.53125" bestFit="1" customWidth="1"/>
    <col min="7" max="7" width="30.19921875" style="218" bestFit="1" customWidth="1"/>
    <col min="8" max="8" width="33.53125" hidden="1" customWidth="1" outlineLevel="1"/>
    <col min="9" max="9" width="25.53125" style="219" customWidth="1" collapsed="1"/>
    <col min="10" max="10" width="10.59765625" hidden="1" customWidth="1" outlineLevel="1"/>
    <col min="11" max="11" width="10.59765625" style="220" collapsed="1"/>
    <col min="12" max="12" width="0" hidden="1" customWidth="1" outlineLevel="1"/>
    <col min="13" max="13" width="19.265625" customWidth="1" collapsed="1"/>
    <col min="14" max="14" width="11.19921875" bestFit="1" customWidth="1"/>
  </cols>
  <sheetData>
    <row r="1" spans="1:16" ht="14.65" thickBot="1" x14ac:dyDescent="0.5">
      <c r="A1" s="1">
        <v>922</v>
      </c>
      <c r="B1" s="2" t="s">
        <v>0</v>
      </c>
      <c r="C1" s="3" t="s">
        <v>1</v>
      </c>
      <c r="D1" s="3"/>
      <c r="E1" s="3"/>
      <c r="F1" s="6" t="s">
        <v>186</v>
      </c>
      <c r="G1" s="318" t="s">
        <v>4</v>
      </c>
      <c r="H1" s="115" t="s">
        <v>5</v>
      </c>
      <c r="I1" s="116"/>
      <c r="J1" s="2">
        <v>45309</v>
      </c>
      <c r="K1" s="117" t="s">
        <v>6</v>
      </c>
      <c r="L1" s="11" t="s">
        <v>8</v>
      </c>
      <c r="M1" s="118" t="s">
        <v>187</v>
      </c>
      <c r="N1" s="12" t="s">
        <v>9</v>
      </c>
    </row>
    <row r="2" spans="1:16" ht="14.65" thickBot="1" x14ac:dyDescent="0.5">
      <c r="A2" s="16" t="s">
        <v>10</v>
      </c>
      <c r="B2" s="119">
        <v>542</v>
      </c>
      <c r="C2" s="18" t="s">
        <v>11</v>
      </c>
      <c r="D2" s="19" t="s">
        <v>12</v>
      </c>
      <c r="E2" s="21" t="s">
        <v>14</v>
      </c>
      <c r="F2" s="24"/>
      <c r="G2" s="319"/>
      <c r="H2" s="119" t="s">
        <v>16</v>
      </c>
      <c r="I2" s="120" t="s">
        <v>17</v>
      </c>
      <c r="J2" s="28"/>
      <c r="K2" s="121" t="s">
        <v>18</v>
      </c>
      <c r="L2" s="30" t="s">
        <v>20</v>
      </c>
      <c r="M2" s="122" t="s">
        <v>14</v>
      </c>
      <c r="N2" s="31"/>
    </row>
    <row r="3" spans="1:16" ht="14.25" customHeight="1" x14ac:dyDescent="0.45">
      <c r="A3" s="130"/>
      <c r="B3" s="237"/>
      <c r="C3" s="144"/>
      <c r="D3" s="125">
        <f t="shared" ref="D3:D8" si="0">C3*0.16</f>
        <v>0</v>
      </c>
      <c r="E3" s="125">
        <f t="shared" ref="E3:E8" si="1">C3+D3</f>
        <v>0</v>
      </c>
      <c r="F3" s="290">
        <f>SUBTOTAL(9,C3:C4)</f>
        <v>0</v>
      </c>
      <c r="G3" s="301"/>
      <c r="H3" s="239"/>
      <c r="I3" s="240" t="s">
        <v>254</v>
      </c>
      <c r="J3" s="239"/>
      <c r="K3" s="241" t="s">
        <v>195</v>
      </c>
      <c r="L3" s="320"/>
      <c r="M3" s="322"/>
    </row>
    <row r="4" spans="1:16" ht="14.25" customHeight="1" thickBot="1" x14ac:dyDescent="0.5">
      <c r="A4" s="135"/>
      <c r="B4" s="238"/>
      <c r="C4" s="150"/>
      <c r="D4" s="137">
        <f t="shared" si="0"/>
        <v>0</v>
      </c>
      <c r="E4" s="137">
        <f t="shared" si="1"/>
        <v>0</v>
      </c>
      <c r="F4" s="292"/>
      <c r="G4" s="315"/>
      <c r="H4" s="136"/>
      <c r="I4" s="138"/>
      <c r="J4" s="136"/>
      <c r="K4" s="231"/>
      <c r="L4" s="321"/>
      <c r="M4" s="322"/>
    </row>
    <row r="5" spans="1:16" ht="14.25" customHeight="1" x14ac:dyDescent="0.45">
      <c r="A5" s="123"/>
      <c r="B5" s="143"/>
      <c r="C5" s="266">
        <v>82378.179999999993</v>
      </c>
      <c r="D5" s="267">
        <f t="shared" si="0"/>
        <v>13180.5088</v>
      </c>
      <c r="E5" s="267">
        <f t="shared" si="1"/>
        <v>95558.688799999989</v>
      </c>
      <c r="F5" s="323">
        <f>SUBTOTAL(9,C5:C8)</f>
        <v>112378.18</v>
      </c>
      <c r="G5" s="326" t="s">
        <v>193</v>
      </c>
      <c r="H5" s="268"/>
      <c r="I5" s="269" t="s">
        <v>194</v>
      </c>
      <c r="J5" s="270"/>
      <c r="K5" s="271"/>
      <c r="L5" s="329" t="s">
        <v>190</v>
      </c>
      <c r="M5" s="322"/>
    </row>
    <row r="6" spans="1:16" ht="14.25" customHeight="1" x14ac:dyDescent="0.45">
      <c r="A6" s="236"/>
      <c r="B6" s="217"/>
      <c r="C6" s="272">
        <v>30000</v>
      </c>
      <c r="D6" s="273">
        <f t="shared" ref="D6:D9" si="2">C6*0.16</f>
        <v>4800</v>
      </c>
      <c r="E6" s="273">
        <f t="shared" si="1"/>
        <v>34800</v>
      </c>
      <c r="F6" s="324"/>
      <c r="G6" s="327"/>
      <c r="H6" s="274"/>
      <c r="I6" s="275"/>
      <c r="J6" s="276"/>
      <c r="K6" s="277"/>
      <c r="L6" s="330"/>
      <c r="M6" s="322"/>
    </row>
    <row r="7" spans="1:16" ht="14.25" customHeight="1" x14ac:dyDescent="0.45">
      <c r="A7" s="236"/>
      <c r="B7" s="217"/>
      <c r="C7" s="272"/>
      <c r="D7" s="273">
        <f>C7*0.16</f>
        <v>0</v>
      </c>
      <c r="E7" s="273">
        <f t="shared" si="1"/>
        <v>0</v>
      </c>
      <c r="F7" s="324"/>
      <c r="G7" s="327"/>
      <c r="H7" s="274"/>
      <c r="I7" s="275"/>
      <c r="J7" s="276"/>
      <c r="K7" s="277"/>
      <c r="L7" s="330"/>
      <c r="M7" s="322"/>
    </row>
    <row r="8" spans="1:16" ht="14.25" customHeight="1" thickBot="1" x14ac:dyDescent="0.5">
      <c r="A8" s="148"/>
      <c r="B8" s="149"/>
      <c r="C8" s="278"/>
      <c r="D8" s="279">
        <f t="shared" si="0"/>
        <v>0</v>
      </c>
      <c r="E8" s="279">
        <f t="shared" si="1"/>
        <v>0</v>
      </c>
      <c r="F8" s="325"/>
      <c r="G8" s="328"/>
      <c r="H8" s="280"/>
      <c r="I8" s="281" t="s">
        <v>194</v>
      </c>
      <c r="J8" s="282"/>
      <c r="K8" s="283"/>
      <c r="L8" s="320"/>
      <c r="M8" s="322"/>
    </row>
    <row r="9" spans="1:16" ht="18" customHeight="1" x14ac:dyDescent="0.45">
      <c r="A9" s="151">
        <v>2171</v>
      </c>
      <c r="B9" s="217">
        <v>45965</v>
      </c>
      <c r="C9" s="254"/>
      <c r="D9" s="242">
        <f t="shared" si="2"/>
        <v>0</v>
      </c>
      <c r="E9" s="242">
        <f t="shared" ref="E9" si="3">C9+D9</f>
        <v>0</v>
      </c>
      <c r="F9" s="331">
        <f>SUBTOTAL(9,C9:C11)</f>
        <v>0</v>
      </c>
      <c r="G9" s="334" t="s">
        <v>196</v>
      </c>
      <c r="H9" s="243" t="s">
        <v>197</v>
      </c>
      <c r="I9" s="244" t="s">
        <v>35</v>
      </c>
      <c r="J9" s="245">
        <v>45965</v>
      </c>
      <c r="K9" s="255" t="s">
        <v>148</v>
      </c>
      <c r="L9" s="329" t="s">
        <v>190</v>
      </c>
      <c r="M9" s="322"/>
    </row>
    <row r="10" spans="1:16" ht="14.25" customHeight="1" x14ac:dyDescent="0.45">
      <c r="A10" s="154"/>
      <c r="B10" s="155"/>
      <c r="C10" s="256"/>
      <c r="D10" s="246">
        <f t="shared" ref="D10:D11" si="4">C10*0.16</f>
        <v>0</v>
      </c>
      <c r="E10" s="246">
        <f t="shared" ref="E10:E11" si="5">C10+D10</f>
        <v>0</v>
      </c>
      <c r="F10" s="332"/>
      <c r="G10" s="335"/>
      <c r="H10" s="247"/>
      <c r="I10" s="248" t="s">
        <v>254</v>
      </c>
      <c r="J10" s="249"/>
      <c r="K10" s="257" t="s">
        <v>195</v>
      </c>
      <c r="L10" s="320"/>
      <c r="M10" s="322"/>
    </row>
    <row r="11" spans="1:16" ht="14.65" customHeight="1" thickBot="1" x14ac:dyDescent="0.5">
      <c r="A11" s="154"/>
      <c r="B11" s="155"/>
      <c r="C11" s="258"/>
      <c r="D11" s="250">
        <f t="shared" si="4"/>
        <v>0</v>
      </c>
      <c r="E11" s="250">
        <f t="shared" si="5"/>
        <v>0</v>
      </c>
      <c r="F11" s="333"/>
      <c r="G11" s="336"/>
      <c r="H11" s="251"/>
      <c r="I11" s="252"/>
      <c r="J11" s="253"/>
      <c r="K11" s="259"/>
      <c r="L11" s="321"/>
      <c r="M11" s="322"/>
      <c r="P11" s="265">
        <v>82378.179999999993</v>
      </c>
    </row>
    <row r="12" spans="1:16" ht="14.65" customHeight="1" x14ac:dyDescent="0.45">
      <c r="A12" s="123">
        <v>1954</v>
      </c>
      <c r="B12" s="124">
        <v>45875</v>
      </c>
      <c r="C12" s="125"/>
      <c r="D12" s="125">
        <f t="shared" ref="D12:D42" si="6">C12*0.16</f>
        <v>0</v>
      </c>
      <c r="E12" s="125">
        <f t="shared" ref="E12:E31" si="7">C12+D12</f>
        <v>0</v>
      </c>
      <c r="F12" s="290">
        <f>SUBTOTAL(9,C12:C17)</f>
        <v>84000</v>
      </c>
      <c r="G12" s="301" t="s">
        <v>199</v>
      </c>
      <c r="H12" s="127" t="s">
        <v>200</v>
      </c>
      <c r="I12" s="156"/>
      <c r="J12" s="124">
        <v>45954</v>
      </c>
      <c r="K12" s="221"/>
      <c r="L12" s="337" t="s">
        <v>190</v>
      </c>
      <c r="M12" s="322"/>
      <c r="N12" t="s">
        <v>191</v>
      </c>
    </row>
    <row r="13" spans="1:16" ht="14.65" customHeight="1" x14ac:dyDescent="0.45">
      <c r="A13" s="145">
        <v>1991</v>
      </c>
      <c r="B13" s="105">
        <v>45902</v>
      </c>
      <c r="C13" s="284">
        <v>24000</v>
      </c>
      <c r="D13" s="106">
        <f t="shared" si="6"/>
        <v>3840</v>
      </c>
      <c r="E13" s="106">
        <f>C13+D13</f>
        <v>27840</v>
      </c>
      <c r="F13" s="291"/>
      <c r="G13" s="305"/>
      <c r="H13" s="104" t="s">
        <v>201</v>
      </c>
      <c r="I13" s="108"/>
      <c r="J13" s="105">
        <v>45902</v>
      </c>
      <c r="K13" s="224"/>
      <c r="L13" s="338"/>
      <c r="M13" s="322"/>
      <c r="N13" t="s">
        <v>202</v>
      </c>
    </row>
    <row r="14" spans="1:16" ht="14.65" customHeight="1" x14ac:dyDescent="0.45">
      <c r="A14" s="145">
        <v>2054</v>
      </c>
      <c r="B14" s="105">
        <v>45954</v>
      </c>
      <c r="C14" s="284">
        <v>30000</v>
      </c>
      <c r="D14" s="106">
        <f t="shared" si="6"/>
        <v>4800</v>
      </c>
      <c r="E14" s="106">
        <f t="shared" si="7"/>
        <v>34800</v>
      </c>
      <c r="F14" s="291"/>
      <c r="G14" s="305"/>
      <c r="H14" s="108" t="s">
        <v>203</v>
      </c>
      <c r="I14" s="157"/>
      <c r="J14" s="105">
        <v>45954</v>
      </c>
      <c r="K14" s="224"/>
      <c r="L14" s="338"/>
      <c r="M14" s="322"/>
      <c r="N14" s="34"/>
    </row>
    <row r="15" spans="1:16" ht="14.65" customHeight="1" x14ac:dyDescent="0.45">
      <c r="A15" s="145">
        <v>2055</v>
      </c>
      <c r="B15" s="105">
        <v>45954</v>
      </c>
      <c r="C15" s="106">
        <v>30000</v>
      </c>
      <c r="D15" s="106">
        <f t="shared" si="6"/>
        <v>4800</v>
      </c>
      <c r="E15" s="106">
        <f t="shared" si="7"/>
        <v>34800</v>
      </c>
      <c r="F15" s="291"/>
      <c r="G15" s="305"/>
      <c r="H15" s="108" t="s">
        <v>204</v>
      </c>
      <c r="I15" s="157"/>
      <c r="J15" s="105">
        <v>45954</v>
      </c>
      <c r="K15" s="224"/>
      <c r="L15" s="338"/>
      <c r="M15" s="322"/>
      <c r="N15" s="34"/>
    </row>
    <row r="16" spans="1:16" ht="14.65" customHeight="1" x14ac:dyDescent="0.45">
      <c r="A16" s="158"/>
      <c r="B16" s="159"/>
      <c r="C16" s="106"/>
      <c r="D16" s="106">
        <f>C16*0.16</f>
        <v>0</v>
      </c>
      <c r="E16" s="106">
        <f>C16+D16</f>
        <v>0</v>
      </c>
      <c r="F16" s="300"/>
      <c r="G16" s="302"/>
      <c r="H16" s="108" t="s">
        <v>205</v>
      </c>
      <c r="I16" s="38"/>
      <c r="J16" s="159"/>
      <c r="K16" s="225"/>
      <c r="L16" s="339"/>
      <c r="M16" s="322"/>
      <c r="N16" s="34"/>
    </row>
    <row r="17" spans="1:15" ht="14.65" customHeight="1" thickBot="1" x14ac:dyDescent="0.5">
      <c r="A17" s="161">
        <v>2057</v>
      </c>
      <c r="B17" s="162">
        <v>45955</v>
      </c>
      <c r="C17" s="137"/>
      <c r="D17" s="137">
        <f t="shared" si="6"/>
        <v>0</v>
      </c>
      <c r="E17" s="137">
        <f t="shared" si="7"/>
        <v>0</v>
      </c>
      <c r="F17" s="292"/>
      <c r="G17" s="315"/>
      <c r="H17" s="163" t="s">
        <v>206</v>
      </c>
      <c r="I17" s="163"/>
      <c r="J17" s="162">
        <v>45955</v>
      </c>
      <c r="K17" s="226"/>
      <c r="L17" s="340"/>
      <c r="M17" s="322"/>
      <c r="N17" s="34" t="s">
        <v>207</v>
      </c>
    </row>
    <row r="18" spans="1:15" ht="14.65" customHeight="1" x14ac:dyDescent="0.45">
      <c r="A18" s="164">
        <v>1987</v>
      </c>
      <c r="B18" s="165">
        <v>45901</v>
      </c>
      <c r="C18" s="166">
        <f>6000*18.1033</f>
        <v>108619.8</v>
      </c>
      <c r="D18" s="167">
        <f>C18*0.16</f>
        <v>17379.168000000001</v>
      </c>
      <c r="E18" s="167">
        <f>C18+D18</f>
        <v>125998.96800000001</v>
      </c>
      <c r="F18" s="290">
        <f>SUBTOTAL(9,C18:C20)</f>
        <v>108619.8</v>
      </c>
      <c r="G18" s="293" t="s">
        <v>38</v>
      </c>
      <c r="H18" s="126" t="s">
        <v>208</v>
      </c>
      <c r="I18" s="128"/>
      <c r="J18" s="165">
        <v>45901</v>
      </c>
      <c r="K18" s="227"/>
      <c r="L18" s="296" t="s">
        <v>190</v>
      </c>
      <c r="M18" s="322"/>
      <c r="N18" s="34"/>
    </row>
    <row r="19" spans="1:15" ht="14.65" customHeight="1" x14ac:dyDescent="0.45">
      <c r="A19" s="130"/>
      <c r="B19" s="131"/>
      <c r="C19" s="168"/>
      <c r="D19" s="169">
        <f>C19*0.16</f>
        <v>0</v>
      </c>
      <c r="E19" s="169">
        <f>C19+D19</f>
        <v>0</v>
      </c>
      <c r="F19" s="291"/>
      <c r="G19" s="294"/>
      <c r="H19" s="131"/>
      <c r="I19" s="133"/>
      <c r="J19" s="131"/>
      <c r="K19" s="228"/>
      <c r="L19" s="297"/>
      <c r="M19" s="322"/>
      <c r="N19" t="s">
        <v>209</v>
      </c>
    </row>
    <row r="20" spans="1:15" ht="14.65" customHeight="1" thickBot="1" x14ac:dyDescent="0.5">
      <c r="A20" s="135"/>
      <c r="B20" s="136"/>
      <c r="C20" s="170"/>
      <c r="D20" s="171">
        <f>C20*0.16</f>
        <v>0</v>
      </c>
      <c r="E20" s="171">
        <f>C20+D20</f>
        <v>0</v>
      </c>
      <c r="F20" s="292"/>
      <c r="G20" s="295"/>
      <c r="H20" s="136"/>
      <c r="I20" s="138"/>
      <c r="J20" s="136"/>
      <c r="K20" s="222"/>
      <c r="L20" s="298"/>
      <c r="M20" s="322"/>
      <c r="N20" s="34"/>
    </row>
    <row r="21" spans="1:15" ht="14.65" customHeight="1" x14ac:dyDescent="0.45">
      <c r="A21" s="123">
        <v>2013</v>
      </c>
      <c r="B21" s="143">
        <v>45931</v>
      </c>
      <c r="C21" s="144">
        <v>50000</v>
      </c>
      <c r="D21" s="125">
        <f t="shared" si="6"/>
        <v>8000</v>
      </c>
      <c r="E21" s="125">
        <f t="shared" si="7"/>
        <v>58000</v>
      </c>
      <c r="F21" s="290">
        <f>SUBTOTAL(9,C21:C22)</f>
        <v>50000</v>
      </c>
      <c r="G21" s="301" t="s">
        <v>33</v>
      </c>
      <c r="H21" s="172" t="s">
        <v>210</v>
      </c>
      <c r="I21" s="173" t="s">
        <v>198</v>
      </c>
      <c r="J21" s="124">
        <v>45931</v>
      </c>
      <c r="K21" s="221" t="s">
        <v>189</v>
      </c>
      <c r="L21" s="296" t="s">
        <v>190</v>
      </c>
      <c r="M21" s="322"/>
      <c r="N21" s="34" t="s">
        <v>191</v>
      </c>
    </row>
    <row r="22" spans="1:15" ht="14.65" customHeight="1" thickBot="1" x14ac:dyDescent="0.5">
      <c r="A22" s="145"/>
      <c r="B22" s="146"/>
      <c r="C22" s="147"/>
      <c r="D22" s="106">
        <f t="shared" si="6"/>
        <v>0</v>
      </c>
      <c r="E22" s="106">
        <f t="shared" si="7"/>
        <v>0</v>
      </c>
      <c r="F22" s="291"/>
      <c r="G22" s="305"/>
      <c r="H22" s="108"/>
      <c r="I22" s="38" t="s">
        <v>188</v>
      </c>
      <c r="J22" s="105"/>
      <c r="K22" s="224" t="s">
        <v>192</v>
      </c>
      <c r="L22" s="297"/>
      <c r="M22" s="322"/>
      <c r="N22" s="34"/>
    </row>
    <row r="23" spans="1:15" ht="14.65" customHeight="1" x14ac:dyDescent="0.45">
      <c r="A23" s="123">
        <v>2020</v>
      </c>
      <c r="B23" s="124">
        <v>45937</v>
      </c>
      <c r="C23" s="125">
        <v>198000</v>
      </c>
      <c r="D23" s="125">
        <f t="shared" si="6"/>
        <v>31680</v>
      </c>
      <c r="E23" s="125">
        <f t="shared" si="7"/>
        <v>229680</v>
      </c>
      <c r="F23" s="290">
        <f>SUBTOTAL(9,C23:C25)</f>
        <v>198000</v>
      </c>
      <c r="G23" s="301" t="s">
        <v>211</v>
      </c>
      <c r="H23" s="172" t="s">
        <v>212</v>
      </c>
      <c r="I23" s="173" t="s">
        <v>198</v>
      </c>
      <c r="J23" s="124">
        <v>45937</v>
      </c>
      <c r="K23" s="221" t="s">
        <v>189</v>
      </c>
      <c r="L23" s="129" t="s">
        <v>190</v>
      </c>
      <c r="M23" s="322"/>
      <c r="N23" t="s">
        <v>213</v>
      </c>
    </row>
    <row r="24" spans="1:15" ht="14.65" customHeight="1" x14ac:dyDescent="0.45">
      <c r="A24" s="130"/>
      <c r="B24" s="131"/>
      <c r="C24" s="131"/>
      <c r="D24" s="106">
        <f t="shared" si="6"/>
        <v>0</v>
      </c>
      <c r="E24" s="106">
        <f t="shared" si="7"/>
        <v>0</v>
      </c>
      <c r="F24" s="291"/>
      <c r="G24" s="305"/>
      <c r="H24" s="131"/>
      <c r="I24" s="133" t="s">
        <v>188</v>
      </c>
      <c r="J24" s="131"/>
      <c r="K24" s="228" t="s">
        <v>192</v>
      </c>
      <c r="L24" s="134" t="s">
        <v>190</v>
      </c>
      <c r="M24" s="322"/>
      <c r="N24" s="34"/>
    </row>
    <row r="25" spans="1:15" ht="14.65" customHeight="1" thickBot="1" x14ac:dyDescent="0.5">
      <c r="A25" s="135"/>
      <c r="B25" s="136"/>
      <c r="C25" s="136"/>
      <c r="D25" s="137">
        <f t="shared" si="6"/>
        <v>0</v>
      </c>
      <c r="E25" s="137">
        <f t="shared" si="7"/>
        <v>0</v>
      </c>
      <c r="F25" s="292"/>
      <c r="G25" s="315"/>
      <c r="H25" s="136"/>
      <c r="I25" s="138" t="s">
        <v>44</v>
      </c>
      <c r="J25" s="136"/>
      <c r="K25" s="222"/>
      <c r="L25" s="176"/>
      <c r="M25" s="322"/>
      <c r="N25" s="34"/>
    </row>
    <row r="26" spans="1:15" ht="14.65" customHeight="1" x14ac:dyDescent="0.45">
      <c r="A26" s="164">
        <v>1756</v>
      </c>
      <c r="B26" s="165">
        <v>45750</v>
      </c>
      <c r="C26" s="177">
        <v>175000</v>
      </c>
      <c r="D26" s="125">
        <f t="shared" si="6"/>
        <v>28000</v>
      </c>
      <c r="E26" s="125">
        <f t="shared" si="7"/>
        <v>203000</v>
      </c>
      <c r="F26" s="290">
        <f>SUBTOTAL(9,C26:C27)</f>
        <v>175000</v>
      </c>
      <c r="G26" s="301" t="s">
        <v>214</v>
      </c>
      <c r="H26" s="126"/>
      <c r="I26" s="178" t="s">
        <v>255</v>
      </c>
      <c r="J26" s="165"/>
      <c r="K26" s="227" t="s">
        <v>195</v>
      </c>
      <c r="L26" s="316" t="s">
        <v>190</v>
      </c>
      <c r="M26" s="322"/>
      <c r="N26" s="34" t="s">
        <v>191</v>
      </c>
    </row>
    <row r="27" spans="1:15" ht="14.65" customHeight="1" thickBot="1" x14ac:dyDescent="0.5">
      <c r="A27" s="148"/>
      <c r="B27" s="180"/>
      <c r="C27" s="107"/>
      <c r="D27" s="106">
        <f t="shared" si="6"/>
        <v>0</v>
      </c>
      <c r="E27" s="106">
        <f t="shared" si="7"/>
        <v>0</v>
      </c>
      <c r="F27" s="291"/>
      <c r="G27" s="305"/>
      <c r="H27" s="132"/>
      <c r="I27" s="37"/>
      <c r="J27" s="180"/>
      <c r="K27" s="229"/>
      <c r="L27" s="317"/>
      <c r="M27" s="322"/>
      <c r="N27" s="34"/>
    </row>
    <row r="28" spans="1:15" ht="14.65" customHeight="1" thickBot="1" x14ac:dyDescent="0.5">
      <c r="A28" s="104"/>
      <c r="B28" s="105">
        <v>45962</v>
      </c>
      <c r="C28" s="106"/>
      <c r="D28" s="125">
        <f t="shared" si="6"/>
        <v>0</v>
      </c>
      <c r="E28" s="125">
        <f t="shared" si="7"/>
        <v>0</v>
      </c>
      <c r="F28" s="125">
        <f>SUBTOTAL(9,C28:C28)</f>
        <v>0</v>
      </c>
      <c r="G28" s="181" t="s">
        <v>215</v>
      </c>
      <c r="H28" s="108"/>
      <c r="I28" s="38" t="s">
        <v>198</v>
      </c>
      <c r="J28" s="105">
        <v>45931</v>
      </c>
      <c r="K28" s="224" t="s">
        <v>189</v>
      </c>
      <c r="L28" s="182" t="s">
        <v>190</v>
      </c>
      <c r="M28" s="322"/>
      <c r="N28" t="s">
        <v>207</v>
      </c>
    </row>
    <row r="29" spans="1:15" ht="14.65" customHeight="1" thickBot="1" x14ac:dyDescent="0.5">
      <c r="A29" s="183"/>
      <c r="B29" s="152"/>
      <c r="C29" s="106"/>
      <c r="D29" s="125">
        <f t="shared" ref="D29" si="8">C29*0.16</f>
        <v>0</v>
      </c>
      <c r="E29" s="125">
        <f t="shared" ref="E29" si="9">C29+D29</f>
        <v>0</v>
      </c>
      <c r="F29" s="125">
        <f>SUBTOTAL(9,C29:C29)</f>
        <v>0</v>
      </c>
      <c r="G29" s="181" t="s">
        <v>216</v>
      </c>
      <c r="H29" s="184"/>
      <c r="I29" s="185" t="s">
        <v>217</v>
      </c>
      <c r="J29" s="152"/>
      <c r="K29" s="223" t="s">
        <v>148</v>
      </c>
      <c r="L29" s="182"/>
      <c r="M29" s="322"/>
    </row>
    <row r="30" spans="1:15" ht="14.65" customHeight="1" x14ac:dyDescent="0.45">
      <c r="A30" s="123">
        <v>2006</v>
      </c>
      <c r="B30" s="124">
        <v>45923</v>
      </c>
      <c r="C30" s="125"/>
      <c r="D30" s="125">
        <f t="shared" si="6"/>
        <v>0</v>
      </c>
      <c r="E30" s="125">
        <f t="shared" si="7"/>
        <v>0</v>
      </c>
      <c r="F30" s="290">
        <f>SUBTOTAL(9,C30:C32)</f>
        <v>0</v>
      </c>
      <c r="G30" s="310" t="s">
        <v>218</v>
      </c>
      <c r="H30" s="127" t="s">
        <v>219</v>
      </c>
      <c r="I30" s="173" t="s">
        <v>198</v>
      </c>
      <c r="J30" s="124">
        <v>45923</v>
      </c>
      <c r="K30" s="221" t="s">
        <v>192</v>
      </c>
      <c r="L30" s="312" t="s">
        <v>220</v>
      </c>
      <c r="M30" s="322"/>
      <c r="N30" t="s">
        <v>221</v>
      </c>
    </row>
    <row r="31" spans="1:15" ht="14.65" customHeight="1" x14ac:dyDescent="0.45">
      <c r="A31" s="130"/>
      <c r="B31" s="131"/>
      <c r="C31" s="106"/>
      <c r="D31" s="106">
        <f t="shared" si="6"/>
        <v>0</v>
      </c>
      <c r="E31" s="106">
        <f t="shared" si="7"/>
        <v>0</v>
      </c>
      <c r="F31" s="291"/>
      <c r="G31" s="311"/>
      <c r="H31" s="131"/>
      <c r="I31" s="133" t="s">
        <v>188</v>
      </c>
      <c r="J31" s="131"/>
      <c r="K31" s="228" t="s">
        <v>148</v>
      </c>
      <c r="L31" s="313"/>
      <c r="M31" s="322"/>
      <c r="N31" s="34"/>
    </row>
    <row r="32" spans="1:15" ht="14.65" thickBot="1" x14ac:dyDescent="0.5">
      <c r="A32" s="135"/>
      <c r="B32" s="136"/>
      <c r="C32" s="106"/>
      <c r="D32" s="106">
        <f t="shared" ref="D32" si="10">C32*0.16</f>
        <v>0</v>
      </c>
      <c r="E32" s="106">
        <f t="shared" ref="E32" si="11">C32+D32</f>
        <v>0</v>
      </c>
      <c r="F32" s="292"/>
      <c r="G32" s="186" t="s">
        <v>222</v>
      </c>
      <c r="H32" s="136"/>
      <c r="I32" s="138" t="s">
        <v>223</v>
      </c>
      <c r="J32" s="136"/>
      <c r="K32" s="222" t="s">
        <v>148</v>
      </c>
      <c r="L32" s="314"/>
      <c r="M32" s="322"/>
      <c r="N32" s="34"/>
      <c r="O32" s="187">
        <v>46044</v>
      </c>
    </row>
    <row r="33" spans="1:14" ht="14.65" customHeight="1" x14ac:dyDescent="0.45">
      <c r="A33" s="123">
        <v>2012</v>
      </c>
      <c r="B33" s="124">
        <v>45930</v>
      </c>
      <c r="C33" s="125"/>
      <c r="D33" s="125">
        <f t="shared" si="6"/>
        <v>0</v>
      </c>
      <c r="E33" s="125">
        <f>C33+D33</f>
        <v>0</v>
      </c>
      <c r="F33" s="290">
        <f>SUBTOTAL(9,C33:C35)</f>
        <v>0</v>
      </c>
      <c r="G33" s="307" t="s">
        <v>150</v>
      </c>
      <c r="H33" s="172"/>
      <c r="I33" s="128" t="s">
        <v>198</v>
      </c>
      <c r="J33" s="124">
        <v>45930</v>
      </c>
      <c r="K33" s="221" t="s">
        <v>189</v>
      </c>
      <c r="L33" s="296" t="s">
        <v>190</v>
      </c>
      <c r="M33" s="322"/>
      <c r="N33" t="s">
        <v>224</v>
      </c>
    </row>
    <row r="34" spans="1:14" ht="14.65" customHeight="1" x14ac:dyDescent="0.45">
      <c r="A34" s="130"/>
      <c r="B34" s="131"/>
      <c r="C34" s="106"/>
      <c r="D34" s="106">
        <f t="shared" si="6"/>
        <v>0</v>
      </c>
      <c r="E34" s="106">
        <f t="shared" ref="E34:E35" si="12">C34+D34</f>
        <v>0</v>
      </c>
      <c r="F34" s="291"/>
      <c r="G34" s="308"/>
      <c r="H34" s="131"/>
      <c r="I34" s="133" t="s">
        <v>188</v>
      </c>
      <c r="J34" s="131"/>
      <c r="K34" s="228" t="s">
        <v>192</v>
      </c>
      <c r="L34" s="297"/>
      <c r="M34" s="322"/>
      <c r="N34" s="34"/>
    </row>
    <row r="35" spans="1:14" ht="14.65" customHeight="1" thickBot="1" x14ac:dyDescent="0.5">
      <c r="A35" s="135"/>
      <c r="B35" s="136"/>
      <c r="C35" s="137"/>
      <c r="D35" s="137">
        <f t="shared" si="6"/>
        <v>0</v>
      </c>
      <c r="E35" s="137">
        <f t="shared" si="12"/>
        <v>0</v>
      </c>
      <c r="F35" s="292"/>
      <c r="G35" s="309"/>
      <c r="H35" s="136"/>
      <c r="I35" s="138" t="s">
        <v>44</v>
      </c>
      <c r="J35" s="136"/>
      <c r="K35" s="222" t="s">
        <v>148</v>
      </c>
      <c r="L35" s="298"/>
      <c r="M35" s="322"/>
      <c r="N35" s="34"/>
    </row>
    <row r="36" spans="1:14" ht="14.25" customHeight="1" x14ac:dyDescent="0.45">
      <c r="A36" s="123">
        <v>2035</v>
      </c>
      <c r="B36" s="124">
        <v>45951</v>
      </c>
      <c r="C36" s="125"/>
      <c r="D36" s="125">
        <f t="shared" si="6"/>
        <v>0</v>
      </c>
      <c r="E36" s="125">
        <f>C36+D36</f>
        <v>0</v>
      </c>
      <c r="F36" s="290">
        <f>SUBTOTAL(9,C36:C38)</f>
        <v>0</v>
      </c>
      <c r="G36" s="307" t="s">
        <v>104</v>
      </c>
      <c r="H36" s="172" t="s">
        <v>225</v>
      </c>
      <c r="I36" s="173" t="s">
        <v>226</v>
      </c>
      <c r="J36" s="124">
        <v>45951</v>
      </c>
      <c r="K36" s="221" t="s">
        <v>189</v>
      </c>
      <c r="L36" s="129" t="s">
        <v>190</v>
      </c>
      <c r="M36" s="322"/>
      <c r="N36" s="34" t="s">
        <v>224</v>
      </c>
    </row>
    <row r="37" spans="1:14" ht="14.25" customHeight="1" x14ac:dyDescent="0.45">
      <c r="A37" s="130"/>
      <c r="B37" s="131"/>
      <c r="C37" s="106"/>
      <c r="D37" s="106">
        <f t="shared" si="6"/>
        <v>0</v>
      </c>
      <c r="E37" s="106">
        <f t="shared" ref="E37:E42" si="13">C37+D37</f>
        <v>0</v>
      </c>
      <c r="F37" s="291"/>
      <c r="G37" s="308"/>
      <c r="H37" s="131"/>
      <c r="I37" s="133" t="s">
        <v>188</v>
      </c>
      <c r="J37" s="131"/>
      <c r="K37" s="228" t="s">
        <v>192</v>
      </c>
      <c r="L37" s="134" t="s">
        <v>190</v>
      </c>
      <c r="M37" s="322"/>
    </row>
    <row r="38" spans="1:14" ht="14.25" customHeight="1" thickBot="1" x14ac:dyDescent="0.5">
      <c r="A38" s="135"/>
      <c r="B38" s="136"/>
      <c r="C38" s="137"/>
      <c r="D38" s="137">
        <f t="shared" si="6"/>
        <v>0</v>
      </c>
      <c r="E38" s="137">
        <f t="shared" si="13"/>
        <v>0</v>
      </c>
      <c r="F38" s="292"/>
      <c r="G38" s="309"/>
      <c r="H38" s="136"/>
      <c r="I38" s="138" t="s">
        <v>44</v>
      </c>
      <c r="J38" s="136"/>
      <c r="K38" s="222" t="s">
        <v>192</v>
      </c>
      <c r="L38" s="188"/>
      <c r="M38" s="322"/>
    </row>
    <row r="39" spans="1:14" ht="14.25" customHeight="1" thickBot="1" x14ac:dyDescent="0.5">
      <c r="A39" s="132">
        <v>1729</v>
      </c>
      <c r="B39" s="149">
        <v>45723</v>
      </c>
      <c r="C39" s="189"/>
      <c r="D39" s="125">
        <f t="shared" si="6"/>
        <v>0</v>
      </c>
      <c r="E39" s="125">
        <f t="shared" si="13"/>
        <v>0</v>
      </c>
      <c r="F39" s="141">
        <f>SUBTOTAL(9,C39:C39)</f>
        <v>0</v>
      </c>
      <c r="G39" s="142" t="s">
        <v>227</v>
      </c>
      <c r="H39" s="126"/>
      <c r="I39" s="178" t="s">
        <v>228</v>
      </c>
      <c r="J39" s="165">
        <v>45723</v>
      </c>
      <c r="K39" s="230" t="s">
        <v>148</v>
      </c>
      <c r="L39" s="190" t="s">
        <v>190</v>
      </c>
      <c r="M39" s="322"/>
      <c r="N39" t="s">
        <v>229</v>
      </c>
    </row>
    <row r="40" spans="1:14" ht="14.25" customHeight="1" thickBot="1" x14ac:dyDescent="0.5">
      <c r="A40" s="191">
        <v>1975</v>
      </c>
      <c r="B40" s="192">
        <v>45891</v>
      </c>
      <c r="C40" s="193"/>
      <c r="D40" s="194">
        <f t="shared" si="6"/>
        <v>0</v>
      </c>
      <c r="E40" s="194">
        <f t="shared" si="13"/>
        <v>0</v>
      </c>
      <c r="F40" s="194">
        <f t="shared" ref="F40:F43" si="14">C40</f>
        <v>0</v>
      </c>
      <c r="G40" s="195" t="s">
        <v>100</v>
      </c>
      <c r="H40" s="195"/>
      <c r="I40" s="196" t="s">
        <v>230</v>
      </c>
      <c r="J40" s="192">
        <v>45891</v>
      </c>
      <c r="K40" s="232" t="s">
        <v>189</v>
      </c>
      <c r="L40" s="197" t="s">
        <v>190</v>
      </c>
      <c r="M40" s="322"/>
      <c r="N40" t="s">
        <v>231</v>
      </c>
    </row>
    <row r="41" spans="1:14" ht="14.25" customHeight="1" thickBot="1" x14ac:dyDescent="0.5">
      <c r="A41" s="191"/>
      <c r="B41" s="192"/>
      <c r="C41" s="193"/>
      <c r="D41" s="194">
        <f>C41*0.16</f>
        <v>0</v>
      </c>
      <c r="E41" s="194">
        <f t="shared" si="13"/>
        <v>0</v>
      </c>
      <c r="F41" s="194">
        <f t="shared" si="14"/>
        <v>0</v>
      </c>
      <c r="G41" s="195" t="s">
        <v>232</v>
      </c>
      <c r="H41" s="195"/>
      <c r="I41" s="198" t="s">
        <v>233</v>
      </c>
      <c r="J41" s="192"/>
      <c r="K41" s="232" t="s">
        <v>192</v>
      </c>
      <c r="L41" s="197"/>
      <c r="M41" s="322"/>
    </row>
    <row r="42" spans="1:14" ht="14.25" customHeight="1" thickBot="1" x14ac:dyDescent="0.5">
      <c r="A42" s="139">
        <v>1875</v>
      </c>
      <c r="B42" s="140">
        <v>45826</v>
      </c>
      <c r="C42" s="194"/>
      <c r="D42" s="194">
        <f t="shared" si="6"/>
        <v>0</v>
      </c>
      <c r="E42" s="194">
        <f t="shared" si="13"/>
        <v>0</v>
      </c>
      <c r="F42" s="194">
        <f t="shared" si="14"/>
        <v>0</v>
      </c>
      <c r="G42" s="195" t="s">
        <v>234</v>
      </c>
      <c r="H42" s="199" t="s">
        <v>235</v>
      </c>
      <c r="I42" s="200" t="s">
        <v>236</v>
      </c>
      <c r="J42" s="140">
        <v>45825</v>
      </c>
      <c r="K42" s="233" t="s">
        <v>195</v>
      </c>
      <c r="L42" s="201" t="s">
        <v>220</v>
      </c>
      <c r="M42" s="322"/>
    </row>
    <row r="43" spans="1:14" ht="14.25" customHeight="1" thickBot="1" x14ac:dyDescent="0.5">
      <c r="A43" s="104">
        <v>2192</v>
      </c>
      <c r="B43" s="105">
        <v>45989</v>
      </c>
      <c r="C43" s="106"/>
      <c r="D43" s="106">
        <f>+C43*0.16</f>
        <v>0</v>
      </c>
      <c r="E43" s="137">
        <f>C43+D43</f>
        <v>0</v>
      </c>
      <c r="F43" s="194">
        <f t="shared" si="14"/>
        <v>0</v>
      </c>
      <c r="G43" s="104" t="s">
        <v>138</v>
      </c>
      <c r="H43" s="108" t="s">
        <v>237</v>
      </c>
      <c r="I43" s="204" t="s">
        <v>238</v>
      </c>
      <c r="J43" s="202"/>
      <c r="K43" s="234" t="s">
        <v>189</v>
      </c>
      <c r="L43" s="203"/>
      <c r="M43" s="322"/>
    </row>
    <row r="44" spans="1:14" ht="14.25" customHeight="1" x14ac:dyDescent="0.45">
      <c r="A44" s="104">
        <v>2034</v>
      </c>
      <c r="B44" s="146">
        <v>45946</v>
      </c>
      <c r="C44" s="144"/>
      <c r="D44" s="125">
        <f>C44*0.16</f>
        <v>0</v>
      </c>
      <c r="E44" s="125">
        <f>C44+D44</f>
        <v>0</v>
      </c>
      <c r="F44" s="290">
        <f>SUBTOTAL(9,C44:C46)</f>
        <v>0</v>
      </c>
      <c r="G44" s="301" t="s">
        <v>239</v>
      </c>
      <c r="H44" s="172" t="s">
        <v>240</v>
      </c>
      <c r="I44" s="173" t="s">
        <v>198</v>
      </c>
      <c r="J44" s="124">
        <v>45946</v>
      </c>
      <c r="K44" s="221" t="s">
        <v>189</v>
      </c>
      <c r="L44" s="296" t="s">
        <v>190</v>
      </c>
      <c r="M44" s="322"/>
      <c r="N44" t="s">
        <v>241</v>
      </c>
    </row>
    <row r="45" spans="1:14" ht="14.25" customHeight="1" x14ac:dyDescent="0.45">
      <c r="C45" s="205"/>
      <c r="D45" s="106">
        <f>C45*0.16</f>
        <v>0</v>
      </c>
      <c r="E45" s="106">
        <f t="shared" ref="E45:E46" si="15">C45+D45</f>
        <v>0</v>
      </c>
      <c r="F45" s="291"/>
      <c r="G45" s="305"/>
      <c r="H45" s="131"/>
      <c r="I45" s="133" t="s">
        <v>188</v>
      </c>
      <c r="J45" s="131"/>
      <c r="K45" s="228" t="s">
        <v>192</v>
      </c>
      <c r="L45" s="297"/>
      <c r="M45" s="322"/>
    </row>
    <row r="46" spans="1:14" ht="14.25" customHeight="1" thickBot="1" x14ac:dyDescent="0.5">
      <c r="C46" s="206"/>
      <c r="D46" s="160">
        <f>C46*0.16</f>
        <v>0</v>
      </c>
      <c r="E46" s="160">
        <f t="shared" si="15"/>
        <v>0</v>
      </c>
      <c r="F46" s="300"/>
      <c r="G46" s="302"/>
      <c r="H46" s="207"/>
      <c r="I46" s="208" t="s">
        <v>44</v>
      </c>
      <c r="J46" s="207"/>
      <c r="K46" s="235" t="s">
        <v>148</v>
      </c>
      <c r="L46" s="299"/>
      <c r="M46" s="322"/>
    </row>
    <row r="47" spans="1:14" ht="14.65" customHeight="1" x14ac:dyDescent="0.45">
      <c r="A47" s="123">
        <v>2007</v>
      </c>
      <c r="B47" s="143">
        <v>45924</v>
      </c>
      <c r="C47" s="144"/>
      <c r="D47" s="125">
        <f>C47*0.16</f>
        <v>0</v>
      </c>
      <c r="E47" s="125">
        <f>C47+D47</f>
        <v>0</v>
      </c>
      <c r="F47" s="290">
        <f>SUBTOTAL(9,C47:C48)</f>
        <v>0</v>
      </c>
      <c r="G47" s="301" t="s">
        <v>242</v>
      </c>
      <c r="H47" s="127" t="s">
        <v>243</v>
      </c>
      <c r="I47" s="209" t="s">
        <v>244</v>
      </c>
      <c r="J47" s="124">
        <v>45924</v>
      </c>
      <c r="K47" s="221" t="s">
        <v>192</v>
      </c>
      <c r="L47" s="210"/>
      <c r="M47" s="322"/>
    </row>
    <row r="48" spans="1:14" ht="14.25" customHeight="1" thickBot="1" x14ac:dyDescent="0.5">
      <c r="A48" s="161">
        <v>2056</v>
      </c>
      <c r="B48" s="174">
        <v>45954</v>
      </c>
      <c r="C48" s="211"/>
      <c r="D48" s="160">
        <f>C48*0.16</f>
        <v>0</v>
      </c>
      <c r="E48" s="160">
        <f>C48+D48</f>
        <v>0</v>
      </c>
      <c r="F48" s="300"/>
      <c r="G48" s="302"/>
      <c r="H48" s="212" t="s">
        <v>245</v>
      </c>
      <c r="I48" s="213" t="s">
        <v>246</v>
      </c>
      <c r="J48" s="159">
        <v>45954</v>
      </c>
      <c r="K48" s="225" t="s">
        <v>192</v>
      </c>
      <c r="L48" s="214"/>
      <c r="M48" s="322"/>
    </row>
    <row r="49" spans="1:14" ht="14.25" customHeight="1" thickBot="1" x14ac:dyDescent="0.5">
      <c r="A49" s="164">
        <v>2004</v>
      </c>
      <c r="B49" s="215">
        <v>45922</v>
      </c>
      <c r="C49" s="189"/>
      <c r="D49" s="177">
        <v>24000</v>
      </c>
      <c r="E49" s="177">
        <v>174000</v>
      </c>
      <c r="F49" s="141">
        <f>SUBTOTAL(9,C49:C49)</f>
        <v>0</v>
      </c>
      <c r="G49" s="142" t="s">
        <v>108</v>
      </c>
      <c r="H49" s="126" t="s">
        <v>247</v>
      </c>
      <c r="I49" s="128" t="s">
        <v>248</v>
      </c>
      <c r="J49" s="165">
        <v>45922</v>
      </c>
      <c r="K49" s="227" t="s">
        <v>189</v>
      </c>
      <c r="L49" s="179" t="s">
        <v>161</v>
      </c>
      <c r="M49" s="322"/>
    </row>
    <row r="50" spans="1:14" ht="14.25" customHeight="1" x14ac:dyDescent="0.45">
      <c r="A50" s="123">
        <v>2026</v>
      </c>
      <c r="B50" s="124">
        <v>45940</v>
      </c>
      <c r="C50" s="153">
        <v>160000</v>
      </c>
      <c r="D50" s="153">
        <v>0</v>
      </c>
      <c r="E50" s="153">
        <f t="shared" ref="E50:E55" si="16">C50+D50</f>
        <v>160000</v>
      </c>
      <c r="F50" s="303">
        <f>SUBTOTAL(9,C50:C51)</f>
        <v>160000</v>
      </c>
      <c r="G50" s="304" t="s">
        <v>73</v>
      </c>
      <c r="H50" s="151" t="s">
        <v>249</v>
      </c>
      <c r="I50" s="185" t="s">
        <v>198</v>
      </c>
      <c r="J50" s="152">
        <v>45940</v>
      </c>
      <c r="K50" s="223" t="s">
        <v>189</v>
      </c>
      <c r="L50" s="306" t="s">
        <v>190</v>
      </c>
      <c r="M50" s="322"/>
      <c r="N50" s="34" t="s">
        <v>202</v>
      </c>
    </row>
    <row r="51" spans="1:14" ht="14.65" customHeight="1" thickBot="1" x14ac:dyDescent="0.5">
      <c r="A51" s="130">
        <v>2179</v>
      </c>
      <c r="B51" s="131"/>
      <c r="C51" s="106"/>
      <c r="D51" s="216">
        <v>0</v>
      </c>
      <c r="E51" s="106">
        <f t="shared" si="16"/>
        <v>0</v>
      </c>
      <c r="F51" s="291"/>
      <c r="G51" s="305"/>
      <c r="H51" s="151" t="s">
        <v>250</v>
      </c>
      <c r="I51" s="133" t="s">
        <v>188</v>
      </c>
      <c r="J51" s="131"/>
      <c r="K51" s="228" t="s">
        <v>189</v>
      </c>
      <c r="L51" s="297"/>
      <c r="M51" s="322"/>
      <c r="N51" s="34"/>
    </row>
    <row r="52" spans="1:14" ht="14.25" customHeight="1" x14ac:dyDescent="0.45">
      <c r="A52" s="123">
        <v>2053</v>
      </c>
      <c r="B52" s="124">
        <v>45953</v>
      </c>
      <c r="C52" s="166"/>
      <c r="D52" s="167">
        <f>C52*0.16</f>
        <v>0</v>
      </c>
      <c r="E52" s="167">
        <f t="shared" si="16"/>
        <v>0</v>
      </c>
      <c r="F52" s="290">
        <f>SUBTOTAL(9,C52:C55)</f>
        <v>0</v>
      </c>
      <c r="G52" s="293" t="s">
        <v>70</v>
      </c>
      <c r="H52" s="172" t="s">
        <v>251</v>
      </c>
      <c r="I52" s="173" t="s">
        <v>252</v>
      </c>
      <c r="J52" s="124">
        <v>45953</v>
      </c>
      <c r="K52" s="221" t="s">
        <v>189</v>
      </c>
      <c r="L52" s="296" t="s">
        <v>190</v>
      </c>
      <c r="M52" s="322"/>
      <c r="N52" s="34"/>
    </row>
    <row r="53" spans="1:14" ht="14.25" customHeight="1" x14ac:dyDescent="0.45">
      <c r="A53" s="145"/>
      <c r="B53" s="105"/>
      <c r="C53" s="168"/>
      <c r="D53" s="169">
        <f>C53*0.16</f>
        <v>0</v>
      </c>
      <c r="E53" s="169">
        <f t="shared" si="16"/>
        <v>0</v>
      </c>
      <c r="F53" s="291"/>
      <c r="G53" s="294"/>
      <c r="H53" s="108"/>
      <c r="I53" s="38" t="s">
        <v>198</v>
      </c>
      <c r="J53" s="105"/>
      <c r="K53" s="224" t="s">
        <v>44</v>
      </c>
      <c r="L53" s="297"/>
      <c r="M53" s="322"/>
      <c r="N53" t="s">
        <v>253</v>
      </c>
    </row>
    <row r="54" spans="1:14" ht="14.25" customHeight="1" thickBot="1" x14ac:dyDescent="0.5">
      <c r="A54" s="145"/>
      <c r="B54" s="105"/>
      <c r="C54" s="169"/>
      <c r="D54" s="169">
        <f>C54*0.16</f>
        <v>0</v>
      </c>
      <c r="E54" s="169">
        <f t="shared" si="16"/>
        <v>0</v>
      </c>
      <c r="F54" s="291"/>
      <c r="G54" s="294"/>
      <c r="H54" s="108"/>
      <c r="I54" s="38" t="s">
        <v>188</v>
      </c>
      <c r="J54" s="105"/>
      <c r="K54" s="226" t="s">
        <v>148</v>
      </c>
      <c r="L54" s="297"/>
      <c r="M54" s="322"/>
    </row>
    <row r="55" spans="1:14" ht="14.25" customHeight="1" thickBot="1" x14ac:dyDescent="0.5">
      <c r="A55" s="161"/>
      <c r="B55" s="162"/>
      <c r="C55" s="171"/>
      <c r="D55" s="171">
        <f>C55*0.16</f>
        <v>0</v>
      </c>
      <c r="E55" s="171">
        <f t="shared" si="16"/>
        <v>0</v>
      </c>
      <c r="F55" s="292"/>
      <c r="G55" s="295"/>
      <c r="H55" s="163"/>
      <c r="I55" s="175" t="s">
        <v>44</v>
      </c>
      <c r="J55" s="162"/>
      <c r="K55" s="226" t="s">
        <v>195</v>
      </c>
      <c r="L55" s="298"/>
      <c r="M55" s="322"/>
    </row>
    <row r="58" spans="1:14" x14ac:dyDescent="0.45">
      <c r="C58" s="285">
        <f>SUBTOTAL(9,C3:C55)</f>
        <v>887997.98</v>
      </c>
    </row>
  </sheetData>
  <autoFilter ref="A2:XEY56" xr:uid="{C1089E8F-D7A7-4A07-8D18-A606AA7F657F}"/>
  <mergeCells count="44">
    <mergeCell ref="G1:G2"/>
    <mergeCell ref="F3:F4"/>
    <mergeCell ref="G3:G4"/>
    <mergeCell ref="L3:L4"/>
    <mergeCell ref="M3:M55"/>
    <mergeCell ref="F5:F8"/>
    <mergeCell ref="G5:G8"/>
    <mergeCell ref="L5:L8"/>
    <mergeCell ref="F9:F11"/>
    <mergeCell ref="G9:G11"/>
    <mergeCell ref="L9:L11"/>
    <mergeCell ref="F12:F17"/>
    <mergeCell ref="G12:G17"/>
    <mergeCell ref="L12:L17"/>
    <mergeCell ref="F18:F20"/>
    <mergeCell ref="G18:G20"/>
    <mergeCell ref="L18:L20"/>
    <mergeCell ref="L30:L32"/>
    <mergeCell ref="F33:F35"/>
    <mergeCell ref="G33:G35"/>
    <mergeCell ref="L33:L35"/>
    <mergeCell ref="F21:F22"/>
    <mergeCell ref="G21:G22"/>
    <mergeCell ref="L21:L22"/>
    <mergeCell ref="F23:F25"/>
    <mergeCell ref="G23:G25"/>
    <mergeCell ref="F26:F27"/>
    <mergeCell ref="G26:G27"/>
    <mergeCell ref="L26:L27"/>
    <mergeCell ref="F36:F38"/>
    <mergeCell ref="G36:G38"/>
    <mergeCell ref="F44:F46"/>
    <mergeCell ref="G44:G46"/>
    <mergeCell ref="F30:F32"/>
    <mergeCell ref="G30:G31"/>
    <mergeCell ref="F52:F55"/>
    <mergeCell ref="G52:G55"/>
    <mergeCell ref="L52:L55"/>
    <mergeCell ref="L44:L46"/>
    <mergeCell ref="F47:F48"/>
    <mergeCell ref="G47:G48"/>
    <mergeCell ref="F50:F51"/>
    <mergeCell ref="G50:G51"/>
    <mergeCell ref="L50:L51"/>
  </mergeCells>
  <conditionalFormatting sqref="K39">
    <cfRule type="containsText" dxfId="50" priority="19" operator="containsText" text="SIN FECHA">
      <formula>NOT(ISERROR(SEARCH("SIN FECHA",K39)))</formula>
    </cfRule>
  </conditionalFormatting>
  <conditionalFormatting sqref="K49">
    <cfRule type="containsText" dxfId="49" priority="5" operator="containsText" text="SIN FECHA">
      <formula>NOT(ISERROR(SEARCH("SIN FECHA",K49)))</formula>
    </cfRule>
  </conditionalFormatting>
  <conditionalFormatting sqref="K53:K55">
    <cfRule type="containsText" dxfId="48" priority="1" operator="containsText" text="SIN FECHA">
      <formula>NOT(ISERROR(SEARCH("SIN FECHA",K53)))</formula>
    </cfRule>
  </conditionalFormatting>
  <conditionalFormatting sqref="K5:L7 K8:K11 K22:K36 K36:L44 K50:L51">
    <cfRule type="containsText" dxfId="47" priority="12" operator="containsText" text="SIN FECHA">
      <formula>NOT(ISERROR(SEARCH("SIN FECHA",K5)))</formula>
    </cfRule>
  </conditionalFormatting>
  <conditionalFormatting sqref="K12:L21">
    <cfRule type="containsText" dxfId="46" priority="43" operator="containsText" text="SIN FECHA">
      <formula>NOT(ISERROR(SEARCH("SIN FECHA",K12)))</formula>
    </cfRule>
  </conditionalFormatting>
  <conditionalFormatting sqref="K47:L48">
    <cfRule type="containsText" dxfId="45" priority="58" operator="containsText" text="SIN FECHA">
      <formula>NOT(ISERROR(SEARCH("SIN FECHA",K47)))</formula>
    </cfRule>
  </conditionalFormatting>
  <conditionalFormatting sqref="K52:L52">
    <cfRule type="containsText" dxfId="44" priority="57" operator="containsText" text="SIN FECHA">
      <formula>NOT(ISERROR(SEARCH("SIN FECHA",K52)))</formula>
    </cfRule>
  </conditionalFormatting>
  <conditionalFormatting sqref="L1:L7 L18 L21 L36:L44">
    <cfRule type="notContainsBlanks" dxfId="43" priority="64">
      <formula>LEN(TRIM(L1))&gt;0</formula>
    </cfRule>
  </conditionalFormatting>
  <conditionalFormatting sqref="L5:L7">
    <cfRule type="containsText" dxfId="42" priority="42" operator="containsText" text="SIN FECHA">
      <formula>NOT(ISERROR(SEARCH("SIN FECHA",L5)))</formula>
    </cfRule>
    <cfRule type="notContainsBlanks" dxfId="41" priority="41">
      <formula>LEN(TRIM(L5))&gt;0</formula>
    </cfRule>
    <cfRule type="cellIs" dxfId="40" priority="40" operator="equal">
      <formula>"REVISIÓN"</formula>
    </cfRule>
    <cfRule type="cellIs" dxfId="39" priority="39" operator="equal">
      <formula>"cancelada"</formula>
    </cfRule>
  </conditionalFormatting>
  <conditionalFormatting sqref="L9">
    <cfRule type="cellIs" dxfId="38" priority="9" operator="equal">
      <formula>"cancelada"</formula>
    </cfRule>
    <cfRule type="notContainsBlanks" dxfId="37" priority="11">
      <formula>LEN(TRIM(L9))&gt;0</formula>
    </cfRule>
    <cfRule type="cellIs" dxfId="36" priority="10" operator="equal">
      <formula>"REVISIÓN"</formula>
    </cfRule>
  </conditionalFormatting>
  <conditionalFormatting sqref="L9:L11">
    <cfRule type="containsText" dxfId="35" priority="8" operator="containsText" text="SIN FECHA">
      <formula>NOT(ISERROR(SEARCH("SIN FECHA",L9)))</formula>
    </cfRule>
  </conditionalFormatting>
  <conditionalFormatting sqref="L18 L21 L1:L7 L36:L44">
    <cfRule type="cellIs" dxfId="34" priority="63" operator="equal">
      <formula>"REVISIÓN"</formula>
    </cfRule>
    <cfRule type="cellIs" dxfId="33" priority="62" operator="equal">
      <formula>"cancelada"</formula>
    </cfRule>
  </conditionalFormatting>
  <conditionalFormatting sqref="L23:L24">
    <cfRule type="cellIs" dxfId="32" priority="31" operator="equal">
      <formula>"cancelada"</formula>
    </cfRule>
    <cfRule type="cellIs" dxfId="31" priority="32" operator="equal">
      <formula>"REVISIÓN"</formula>
    </cfRule>
    <cfRule type="notContainsBlanks" dxfId="30" priority="33">
      <formula>LEN(TRIM(L23))&gt;0</formula>
    </cfRule>
    <cfRule type="containsText" dxfId="29" priority="34" operator="containsText" text="SIN FECHA">
      <formula>NOT(ISERROR(SEARCH("SIN FECHA",L23)))</formula>
    </cfRule>
  </conditionalFormatting>
  <conditionalFormatting sqref="L26">
    <cfRule type="cellIs" dxfId="28" priority="51" operator="equal">
      <formula>"cancelada"</formula>
    </cfRule>
    <cfRule type="notContainsBlanks" dxfId="27" priority="53">
      <formula>LEN(TRIM(L26))&gt;0</formula>
    </cfRule>
    <cfRule type="cellIs" dxfId="26" priority="52" operator="equal">
      <formula>"REVISIÓN"</formula>
    </cfRule>
  </conditionalFormatting>
  <conditionalFormatting sqref="L28:L29">
    <cfRule type="notContainsBlanks" dxfId="25" priority="29">
      <formula>LEN(TRIM(L28))&gt;0</formula>
    </cfRule>
    <cfRule type="cellIs" dxfId="24" priority="28" operator="equal">
      <formula>"REVISIÓN"</formula>
    </cfRule>
    <cfRule type="cellIs" dxfId="23" priority="27" operator="equal">
      <formula>"cancelada"</formula>
    </cfRule>
    <cfRule type="containsText" dxfId="22" priority="30" operator="containsText" text="SIN FECHA">
      <formula>NOT(ISERROR(SEARCH("SIN FECHA",L28)))</formula>
    </cfRule>
  </conditionalFormatting>
  <conditionalFormatting sqref="L30">
    <cfRule type="cellIs" dxfId="21" priority="21" operator="equal">
      <formula>"PAGADO"</formula>
    </cfRule>
    <cfRule type="cellIs" dxfId="20" priority="22" operator="equal">
      <formula>"ON TRACK"</formula>
    </cfRule>
  </conditionalFormatting>
  <conditionalFormatting sqref="L33">
    <cfRule type="notContainsBlanks" dxfId="19" priority="25">
      <formula>LEN(TRIM(L33))&gt;0</formula>
    </cfRule>
    <cfRule type="containsText" dxfId="18" priority="26" operator="containsText" text="SIN FECHA">
      <formula>NOT(ISERROR(SEARCH("SIN FECHA",L33)))</formula>
    </cfRule>
    <cfRule type="cellIs" dxfId="17" priority="24" operator="equal">
      <formula>"REVISIÓN"</formula>
    </cfRule>
    <cfRule type="cellIs" dxfId="16" priority="23" operator="equal">
      <formula>"cancelada"</formula>
    </cfRule>
  </conditionalFormatting>
  <conditionalFormatting sqref="L36:L37">
    <cfRule type="cellIs" dxfId="15" priority="13" operator="equal">
      <formula>"cancelada"</formula>
    </cfRule>
    <cfRule type="cellIs" dxfId="14" priority="14" operator="equal">
      <formula>"REVISIÓN"</formula>
    </cfRule>
    <cfRule type="notContainsBlanks" dxfId="13" priority="15">
      <formula>LEN(TRIM(L36))&gt;0</formula>
    </cfRule>
    <cfRule type="containsText" dxfId="12" priority="16" operator="containsText" text="SIN FECHA">
      <formula>NOT(ISERROR(SEARCH("SIN FECHA",L36)))</formula>
    </cfRule>
  </conditionalFormatting>
  <conditionalFormatting sqref="L39">
    <cfRule type="cellIs" dxfId="11" priority="17" operator="equal">
      <formula>"PAGADO"</formula>
    </cfRule>
    <cfRule type="cellIs" dxfId="10" priority="18" operator="equal">
      <formula>"ON TRACK"</formula>
    </cfRule>
  </conditionalFormatting>
  <conditionalFormatting sqref="L49">
    <cfRule type="cellIs" dxfId="9" priority="4" operator="equal">
      <formula>"ON TRACK"</formula>
    </cfRule>
    <cfRule type="cellIs" dxfId="8" priority="3" operator="equal">
      <formula>"PAGADO"</formula>
    </cfRule>
  </conditionalFormatting>
  <conditionalFormatting sqref="L50">
    <cfRule type="notContainsBlanks" dxfId="7" priority="37">
      <formula>LEN(TRIM(L50))&gt;0</formula>
    </cfRule>
    <cfRule type="cellIs" dxfId="6" priority="36" operator="equal">
      <formula>"REVISIÓN"</formula>
    </cfRule>
    <cfRule type="cellIs" dxfId="5" priority="35" operator="equal">
      <formula>"cancelada"</formula>
    </cfRule>
  </conditionalFormatting>
  <conditionalFormatting sqref="L52">
    <cfRule type="cellIs" dxfId="4" priority="54" operator="equal">
      <formula>"cancelada"</formula>
    </cfRule>
    <cfRule type="cellIs" dxfId="3" priority="55" operator="equal">
      <formula>"REVISIÓN"</formula>
    </cfRule>
    <cfRule type="notContainsBlanks" dxfId="2" priority="56">
      <formula>LEN(TRIM(L52))&gt;0</formula>
    </cfRule>
  </conditionalFormatting>
  <conditionalFormatting sqref="M1:M2">
    <cfRule type="cellIs" dxfId="1" priority="59" operator="equal">
      <formula>"PAGADO"</formula>
    </cfRule>
    <cfRule type="cellIs" dxfId="0" priority="60" operator="equal">
      <formula>"ON TRACK"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2026</vt:lpstr>
      <vt:lpstr>2026 (SMGS)</vt:lpstr>
      <vt:lpstr>Cierre 2025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Ivan Fraga Lagos</dc:creator>
  <cp:lastModifiedBy>Eric Ivan Fraga Lagos</cp:lastModifiedBy>
  <dcterms:created xsi:type="dcterms:W3CDTF">2026-01-08T22:46:34Z</dcterms:created>
  <dcterms:modified xsi:type="dcterms:W3CDTF">2026-04-11T00:34:37Z</dcterms:modified>
</cp:coreProperties>
</file>